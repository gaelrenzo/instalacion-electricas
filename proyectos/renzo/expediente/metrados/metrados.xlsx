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xmlns:r="http://schemas.openxmlformats.org/officeDocument/2006/relationships" name="Metrados Electricos" sheetId="1" state="visible" r:id="rId1"/>
  </sheets>
  <definedNames>
    <definedName name="_xlnm.Print_Area" localSheetId="0">'Metrados Electricos'!$A$1:$I$1200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d\.m"/>
  </numFmts>
  <fonts count="20">
    <font>
      <name val="Arial"/>
      <color rgb="FF000000"/>
      <sz val="10"/>
      <scheme val="minor"/>
    </font>
    <font>
      <name val="Arial"/>
      <family val="2"/>
      <color theme="1"/>
      <sz val="10"/>
      <scheme val="minor"/>
    </font>
    <font>
      <name val="Arial"/>
      <family val="2"/>
      <color rgb="FFFFFF00"/>
      <sz val="10"/>
      <scheme val="minor"/>
    </font>
    <font>
      <name val="Arial"/>
      <family val="2"/>
      <b val="1"/>
      <sz val="10"/>
      <scheme val="minor"/>
    </font>
    <font>
      <name val="Calibri"/>
      <family val="2"/>
      <b val="1"/>
      <color rgb="FF000000"/>
      <sz val="9"/>
    </font>
    <font>
      <name val="Calibri"/>
      <family val="2"/>
      <color rgb="FF000000"/>
      <sz val="9"/>
    </font>
    <font>
      <name val="Calibri"/>
      <family val="2"/>
      <b val="1"/>
      <color rgb="FFFF0000"/>
      <sz val="9"/>
    </font>
    <font>
      <name val="Calibri"/>
      <family val="2"/>
      <b val="1"/>
      <color rgb="FF00B050"/>
      <sz val="9"/>
    </font>
    <font>
      <name val="Calibri"/>
      <family val="2"/>
      <b val="1"/>
      <color rgb="FF0000FF"/>
      <sz val="9"/>
    </font>
    <font>
      <name val="Calibri"/>
      <family val="2"/>
      <color theme="1"/>
      <sz val="9"/>
    </font>
    <font>
      <name val="Calibri"/>
      <family val="2"/>
      <color rgb="FFFF0000"/>
      <sz val="9"/>
    </font>
    <font>
      <name val="Calibri"/>
      <family val="2"/>
      <b val="1"/>
      <color theme="1"/>
      <sz val="9"/>
    </font>
    <font>
      <name val="Calibri"/>
      <family val="2"/>
      <sz val="9"/>
    </font>
    <font>
      <name val="Calibri"/>
      <family val="2"/>
      <b val="1"/>
      <sz val="10"/>
    </font>
    <font>
      <name val="Arial"/>
      <family val="2"/>
      <sz val="8"/>
      <scheme val="minor"/>
    </font>
    <font>
      <name val="Calibri"/>
      <b val="1"/>
      <color rgb="FFFF0000"/>
      <sz val="9"/>
    </font>
    <font>
      <name val="Calibri"/>
      <b val="1"/>
      <color rgb="FF00B050"/>
      <sz val="9"/>
    </font>
    <font>
      <name val="Calibri"/>
      <color rgb="FF000000"/>
      <sz val="9"/>
    </font>
    <font>
      <name val="Calibri"/>
      <b val="1"/>
      <color rgb="FF0000FF"/>
      <sz val="9"/>
    </font>
    <font>
      <name val="Calibri"/>
      <b val="1"/>
      <color rgb="FF000000"/>
      <sz val="9"/>
    </font>
  </fonts>
  <fills count="21">
    <fill>
      <patternFill/>
    </fill>
    <fill>
      <patternFill patternType="gray125"/>
    </fill>
    <fill>
      <patternFill patternType="solid">
        <fgColor theme="0"/>
        <bgColor rgb="FFBFBFBF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B7B7B7"/>
      </patternFill>
    </fill>
    <fill>
      <patternFill patternType="solid">
        <fgColor theme="0"/>
        <bgColor rgb="FF00FF00"/>
      </patternFill>
    </fill>
    <fill>
      <patternFill patternType="solid">
        <fgColor theme="0"/>
        <bgColor rgb="FFCCFF99"/>
      </patternFill>
    </fill>
    <fill>
      <patternFill patternType="solid">
        <fgColor theme="0"/>
        <bgColor rgb="FFD9E1F2"/>
      </patternFill>
    </fill>
    <fill>
      <patternFill patternType="solid">
        <fgColor theme="0"/>
        <bgColor rgb="FFF8CBAD"/>
      </patternFill>
    </fill>
    <fill>
      <patternFill patternType="solid">
        <fgColor theme="0"/>
        <bgColor rgb="FFCCECFF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FCE4D6"/>
      </patternFill>
    </fill>
    <fill>
      <patternFill patternType="solid">
        <fgColor theme="0"/>
        <bgColor rgb="FFFF0000"/>
      </patternFill>
    </fill>
    <fill>
      <patternFill patternType="solid">
        <fgColor theme="0"/>
        <bgColor rgb="FFF4B084"/>
      </patternFill>
    </fill>
    <fill>
      <patternFill patternType="solid">
        <fgColor theme="0"/>
        <bgColor rgb="FFFF9900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rgb="FFFF99FF"/>
      </patternFill>
    </fill>
    <fill>
      <patternFill patternType="solid">
        <fgColor theme="0"/>
        <bgColor rgb="FFFF9966"/>
      </patternFill>
    </fill>
    <fill>
      <patternFill patternType="solid">
        <fgColor theme="0"/>
        <bgColor rgb="FF8EA9DB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rgb="FFFFFFFF"/>
      </patternFill>
    </fill>
  </fills>
  <borders count="21">
    <border>
      <left/>
      <right/>
      <top/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 style="dashed">
        <color indexed="64"/>
      </right>
      <top/>
      <bottom style="dashed">
        <color indexed="64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/>
      <diagonal/>
    </border>
    <border>
      <left style="dotted">
        <color rgb="FF000000"/>
      </left>
      <right style="dotted">
        <color rgb="FF000000"/>
      </right>
      <top/>
      <bottom style="dotted">
        <color rgb="FF000000"/>
      </bottom>
      <diagonal/>
    </border>
    <border>
      <left style="dashed">
        <color indexed="64"/>
      </left>
      <right/>
      <top style="dashed">
        <color indexed="64"/>
      </top>
      <bottom/>
      <diagonal/>
    </border>
    <border>
      <left/>
      <right/>
      <top style="dashed">
        <color indexed="64"/>
      </top>
      <bottom/>
      <diagonal/>
    </border>
    <border>
      <left/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/>
      <top/>
      <bottom/>
      <diagonal/>
    </border>
    <border>
      <left/>
      <right style="dashed">
        <color indexed="64"/>
      </right>
      <top/>
      <bottom/>
      <diagonal/>
    </border>
    <border>
      <left style="dashed">
        <color indexed="64"/>
      </left>
      <right/>
      <top/>
      <bottom style="dashed">
        <color indexed="64"/>
      </bottom>
      <diagonal/>
    </border>
    <border>
      <left/>
      <right/>
      <top/>
      <bottom style="dashed">
        <color indexed="64"/>
      </bottom>
      <diagonal/>
    </border>
    <border>
      <left style="dotted">
        <color rgb="FF000000"/>
      </left>
      <right style="dotted">
        <color rgb="FF000000"/>
      </right>
      <top style="medium">
        <color rgb="FFCCCCCC"/>
      </top>
      <bottom style="dotted">
        <color rgb="FF000000"/>
      </bottom>
      <diagonal/>
    </border>
    <border>
      <left style="dotted">
        <color rgb="FF000000"/>
      </left>
      <right/>
      <top/>
      <bottom/>
      <diagonal/>
    </border>
    <border>
      <left style="dotted">
        <color rgb="FF000000"/>
      </left>
      <right style="dotted">
        <color rgb="FF000000"/>
      </right>
      <top/>
      <bottom/>
      <diagonal/>
    </border>
    <border>
      <left/>
      <right/>
      <top style="dotted">
        <color rgb="FF000000"/>
      </top>
      <bottom/>
      <diagonal/>
    </border>
    <border>
      <left/>
      <right style="dotted">
        <color rgb="FF000000"/>
      </right>
      <top style="dotted">
        <color rgb="FF000000"/>
      </top>
      <bottom/>
      <diagonal/>
    </border>
    <border>
      <left/>
      <right/>
      <top style="dotted">
        <color rgb="FF000000"/>
      </top>
      <bottom style="dotted">
        <color rgb="FF000000"/>
      </bottom>
      <diagonal/>
    </border>
    <border>
      <left/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B0B0B0"/>
      </left>
      <right style="dotted">
        <color rgb="FFB0B0B0"/>
      </right>
      <top style="dotted">
        <color rgb="FFB0B0B0"/>
      </top>
      <bottom style="dotted">
        <color rgb="FFB0B0B0"/>
      </bottom>
    </border>
  </borders>
  <cellStyleXfs count="1">
    <xf numFmtId="0" fontId="0" fillId="0" borderId="0"/>
  </cellStyleXfs>
  <cellXfs count="134">
    <xf numFmtId="0" fontId="0" fillId="0" borderId="0" pivotButton="0" quotePrefix="0" xfId="0"/>
    <xf numFmtId="0" fontId="0" fillId="3" borderId="3" pivotButton="0" quotePrefix="0" xfId="0"/>
    <xf numFmtId="0" fontId="0" fillId="3" borderId="0" pivotButton="0" quotePrefix="0" xfId="0"/>
    <xf numFmtId="0" fontId="1" fillId="3" borderId="0" pivotButton="0" quotePrefix="0" xfId="0"/>
    <xf numFmtId="0" fontId="1" fillId="12" borderId="0" pivotButton="0" quotePrefix="0" xfId="0"/>
    <xf numFmtId="0" fontId="1" fillId="14" borderId="0" pivotButton="0" quotePrefix="0" xfId="0"/>
    <xf numFmtId="0" fontId="2" fillId="3" borderId="0" pivotButton="0" quotePrefix="0" xfId="0"/>
    <xf numFmtId="0" fontId="1" fillId="3" borderId="0" applyAlignment="1" pivotButton="0" quotePrefix="0" xfId="0">
      <alignment wrapText="1"/>
    </xf>
    <xf numFmtId="0" fontId="0" fillId="3" borderId="5" pivotButton="0" quotePrefix="0" xfId="0"/>
    <xf numFmtId="0" fontId="3" fillId="3" borderId="6" pivotButton="0" quotePrefix="0" xfId="0"/>
    <xf numFmtId="0" fontId="3" fillId="3" borderId="7" pivotButton="0" quotePrefix="0" xfId="0"/>
    <xf numFmtId="0" fontId="3" fillId="3" borderId="8" pivotButton="0" quotePrefix="0" xfId="0"/>
    <xf numFmtId="0" fontId="3" fillId="3" borderId="9" pivotButton="0" quotePrefix="0" xfId="0"/>
    <xf numFmtId="0" fontId="3" fillId="3" borderId="0" pivotButton="0" quotePrefix="0" xfId="0"/>
    <xf numFmtId="0" fontId="3" fillId="3" borderId="10" pivotButton="0" quotePrefix="0" xfId="0"/>
    <xf numFmtId="0" fontId="3" fillId="3" borderId="11" pivotButton="0" quotePrefix="0" xfId="0"/>
    <xf numFmtId="0" fontId="3" fillId="3" borderId="12" pivotButton="0" quotePrefix="0" xfId="0"/>
    <xf numFmtId="0" fontId="3" fillId="3" borderId="2" pivotButton="0" quotePrefix="0" xfId="0"/>
    <xf numFmtId="0" fontId="4" fillId="2" borderId="3" applyAlignment="1" pivotButton="0" quotePrefix="0" xfId="0">
      <alignment horizontal="center"/>
    </xf>
    <xf numFmtId="0" fontId="5" fillId="2" borderId="3" applyAlignment="1" pivotButton="0" quotePrefix="0" xfId="0">
      <alignment horizontal="center"/>
    </xf>
    <xf numFmtId="0" fontId="6" fillId="2" borderId="3" applyAlignment="1" pivotButton="0" quotePrefix="0" xfId="0">
      <alignment horizontal="left"/>
    </xf>
    <xf numFmtId="0" fontId="6" fillId="2" borderId="3" applyAlignment="1" pivotButton="0" quotePrefix="0" xfId="0">
      <alignment wrapText="1"/>
    </xf>
    <xf numFmtId="3" fontId="5" fillId="4" borderId="3" pivotButton="0" quotePrefix="0" xfId="0"/>
    <xf numFmtId="0" fontId="5" fillId="2" borderId="3" pivotButton="0" quotePrefix="0" xfId="0"/>
    <xf numFmtId="3" fontId="5" fillId="2" borderId="3" applyAlignment="1" pivotButton="0" quotePrefix="0" xfId="0">
      <alignment horizontal="right"/>
    </xf>
    <xf numFmtId="0" fontId="7" fillId="2" borderId="3" applyAlignment="1" pivotButton="0" quotePrefix="0" xfId="0">
      <alignment horizontal="left"/>
    </xf>
    <xf numFmtId="0" fontId="7" fillId="2" borderId="3" applyAlignment="1" pivotButton="0" quotePrefix="0" xfId="0">
      <alignment horizontal="left" wrapText="1"/>
    </xf>
    <xf numFmtId="0" fontId="8" fillId="2" borderId="3" applyAlignment="1" pivotButton="0" quotePrefix="0" xfId="0">
      <alignment horizontal="left"/>
    </xf>
    <xf numFmtId="0" fontId="8" fillId="2" borderId="3" applyAlignment="1" pivotButton="0" quotePrefix="0" xfId="0">
      <alignment horizontal="left" wrapText="1"/>
    </xf>
    <xf numFmtId="0" fontId="9" fillId="2" borderId="3" applyAlignment="1" pivotButton="0" quotePrefix="0" xfId="0">
      <alignment horizontal="left"/>
    </xf>
    <xf numFmtId="0" fontId="5" fillId="2" borderId="3" applyAlignment="1" pivotButton="0" quotePrefix="0" xfId="0">
      <alignment horizontal="left" vertical="top" wrapText="1"/>
    </xf>
    <xf numFmtId="0" fontId="10" fillId="2" borderId="3" pivotButton="0" quotePrefix="0" xfId="0"/>
    <xf numFmtId="164" fontId="5" fillId="2" borderId="3" pivotButton="0" quotePrefix="0" xfId="0"/>
    <xf numFmtId="0" fontId="6" fillId="2" borderId="3" pivotButton="0" quotePrefix="0" xfId="0"/>
    <xf numFmtId="0" fontId="11" fillId="2" borderId="3" applyAlignment="1" pivotButton="0" quotePrefix="0" xfId="0">
      <alignment wrapText="1"/>
    </xf>
    <xf numFmtId="3" fontId="5" fillId="2" borderId="3" pivotButton="0" quotePrefix="0" xfId="0"/>
    <xf numFmtId="0" fontId="9" fillId="2" borderId="3" applyAlignment="1" pivotButton="0" quotePrefix="0" xfId="0">
      <alignment wrapText="1"/>
    </xf>
    <xf numFmtId="0" fontId="4" fillId="2" borderId="3" pivotButton="0" quotePrefix="0" xfId="0"/>
    <xf numFmtId="0" fontId="4" fillId="2" borderId="3" applyAlignment="1" pivotButton="0" quotePrefix="0" xfId="0">
      <alignment horizontal="left" vertical="top" wrapText="1"/>
    </xf>
    <xf numFmtId="0" fontId="4" fillId="5" borderId="3" applyAlignment="1" pivotButton="0" quotePrefix="0" xfId="0">
      <alignment horizontal="left" vertical="top" wrapText="1"/>
    </xf>
    <xf numFmtId="0" fontId="4" fillId="5" borderId="3" pivotButton="0" quotePrefix="0" xfId="0"/>
    <xf numFmtId="0" fontId="5" fillId="2" borderId="3" applyAlignment="1" pivotButton="0" quotePrefix="0" xfId="0">
      <alignment horizontal="left" wrapText="1"/>
    </xf>
    <xf numFmtId="0" fontId="4" fillId="2" borderId="3" applyAlignment="1" pivotButton="0" quotePrefix="0" xfId="0">
      <alignment horizontal="left" wrapText="1"/>
    </xf>
    <xf numFmtId="3" fontId="5" fillId="4" borderId="3" applyAlignment="1" pivotButton="0" quotePrefix="0" xfId="0">
      <alignment vertical="top"/>
    </xf>
    <xf numFmtId="0" fontId="5" fillId="2" borderId="3" applyAlignment="1" pivotButton="0" quotePrefix="0" xfId="0">
      <alignment vertical="top"/>
    </xf>
    <xf numFmtId="3" fontId="5" fillId="2" borderId="3" applyAlignment="1" pivotButton="0" quotePrefix="0" xfId="0">
      <alignment horizontal="right" vertical="top"/>
    </xf>
    <xf numFmtId="3" fontId="5" fillId="2" borderId="3" applyAlignment="1" pivotButton="0" quotePrefix="0" xfId="0">
      <alignment vertical="top"/>
    </xf>
    <xf numFmtId="0" fontId="5" fillId="2" borderId="3" applyAlignment="1" pivotButton="0" quotePrefix="0" xfId="0">
      <alignment horizontal="right"/>
    </xf>
    <xf numFmtId="0" fontId="5" fillId="5" borderId="3" applyAlignment="1" pivotButton="0" quotePrefix="0" xfId="0">
      <alignment horizontal="left" wrapText="1"/>
    </xf>
    <xf numFmtId="3" fontId="5" fillId="4" borderId="3" applyAlignment="1" pivotButton="0" quotePrefix="0" xfId="0">
      <alignment horizontal="left"/>
    </xf>
    <xf numFmtId="0" fontId="5" fillId="2" borderId="3" applyAlignment="1" pivotButton="0" quotePrefix="0" xfId="0">
      <alignment horizontal="left"/>
    </xf>
    <xf numFmtId="3" fontId="5" fillId="4" borderId="3" applyAlignment="1" pivotButton="0" quotePrefix="0" xfId="0">
      <alignment horizontal="right"/>
    </xf>
    <xf numFmtId="0" fontId="5" fillId="2" borderId="3" applyAlignment="1" pivotButton="0" quotePrefix="0" xfId="0">
      <alignment horizontal="left" vertical="top"/>
    </xf>
    <xf numFmtId="0" fontId="5" fillId="2" borderId="3" applyAlignment="1" pivotButton="0" quotePrefix="0" xfId="0">
      <alignment vertical="top" wrapText="1"/>
    </xf>
    <xf numFmtId="0" fontId="4" fillId="2" borderId="3" applyAlignment="1" pivotButton="0" quotePrefix="0" xfId="0">
      <alignment vertical="top"/>
    </xf>
    <xf numFmtId="0" fontId="9" fillId="12" borderId="3" applyAlignment="1" pivotButton="0" quotePrefix="0" xfId="0">
      <alignment horizontal="left"/>
    </xf>
    <xf numFmtId="0" fontId="4" fillId="12" borderId="3" applyAlignment="1" pivotButton="0" quotePrefix="0" xfId="0">
      <alignment vertical="top"/>
    </xf>
    <xf numFmtId="0" fontId="5" fillId="12" borderId="3" pivotButton="0" quotePrefix="0" xfId="0"/>
    <xf numFmtId="3" fontId="5" fillId="12" borderId="3" applyAlignment="1" pivotButton="0" quotePrefix="0" xfId="0">
      <alignment horizontal="right"/>
    </xf>
    <xf numFmtId="0" fontId="5" fillId="12" borderId="3" applyAlignment="1" pivotButton="0" quotePrefix="0" xfId="0">
      <alignment horizontal="center"/>
    </xf>
    <xf numFmtId="0" fontId="9" fillId="2" borderId="3" pivotButton="0" quotePrefix="0" xfId="0"/>
    <xf numFmtId="0" fontId="9" fillId="14" borderId="3" applyAlignment="1" pivotButton="0" quotePrefix="0" xfId="0">
      <alignment horizontal="left"/>
    </xf>
    <xf numFmtId="0" fontId="11" fillId="14" borderId="3" applyAlignment="1" pivotButton="0" quotePrefix="0" xfId="0">
      <alignment wrapText="1"/>
    </xf>
    <xf numFmtId="3" fontId="5" fillId="14" borderId="3" pivotButton="0" quotePrefix="0" xfId="0"/>
    <xf numFmtId="0" fontId="5" fillId="14" borderId="3" pivotButton="0" quotePrefix="0" xfId="0"/>
    <xf numFmtId="3" fontId="5" fillId="14" borderId="3" applyAlignment="1" pivotButton="0" quotePrefix="0" xfId="0">
      <alignment horizontal="right"/>
    </xf>
    <xf numFmtId="0" fontId="5" fillId="14" borderId="3" applyAlignment="1" pivotButton="0" quotePrefix="0" xfId="0">
      <alignment horizontal="center"/>
    </xf>
    <xf numFmtId="2" fontId="5" fillId="2" borderId="3" pivotButton="0" quotePrefix="0" xfId="0"/>
    <xf numFmtId="0" fontId="6" fillId="2" borderId="3" applyAlignment="1" pivotButton="0" quotePrefix="0" xfId="0">
      <alignment horizontal="left" wrapText="1"/>
    </xf>
    <xf numFmtId="0" fontId="9" fillId="2" borderId="4" applyAlignment="1" pivotButton="0" quotePrefix="0" xfId="0">
      <alignment horizontal="left"/>
    </xf>
    <xf numFmtId="0" fontId="5" fillId="2" borderId="4" applyAlignment="1" pivotButton="0" quotePrefix="0" xfId="0">
      <alignment horizontal="left" wrapText="1"/>
    </xf>
    <xf numFmtId="3" fontId="5" fillId="4" borderId="4" pivotButton="0" quotePrefix="0" xfId="0"/>
    <xf numFmtId="0" fontId="5" fillId="2" borderId="4" pivotButton="0" quotePrefix="0" xfId="0"/>
    <xf numFmtId="3" fontId="5" fillId="2" borderId="4" pivotButton="0" quotePrefix="0" xfId="0"/>
    <xf numFmtId="0" fontId="5" fillId="2" borderId="4" applyAlignment="1" pivotButton="0" quotePrefix="0" xfId="0">
      <alignment horizontal="center"/>
    </xf>
    <xf numFmtId="0" fontId="9" fillId="2" borderId="1" applyAlignment="1" pivotButton="0" quotePrefix="0" xfId="0">
      <alignment horizontal="left"/>
    </xf>
    <xf numFmtId="0" fontId="5" fillId="2" borderId="1" applyAlignment="1" pivotButton="0" quotePrefix="0" xfId="0">
      <alignment horizontal="left" wrapText="1"/>
    </xf>
    <xf numFmtId="3" fontId="5" fillId="4" borderId="1" pivotButton="0" quotePrefix="0" xfId="0"/>
    <xf numFmtId="0" fontId="5" fillId="2" borderId="1" pivotButton="0" quotePrefix="0" xfId="0"/>
    <xf numFmtId="3" fontId="5" fillId="2" borderId="1" pivotButton="0" quotePrefix="0" xfId="0"/>
    <xf numFmtId="0" fontId="5" fillId="2" borderId="1" applyAlignment="1" pivotButton="0" quotePrefix="0" xfId="0">
      <alignment horizontal="center"/>
    </xf>
    <xf numFmtId="3" fontId="5" fillId="6" borderId="3" applyAlignment="1" pivotButton="0" quotePrefix="0" xfId="0">
      <alignment horizontal="right"/>
    </xf>
    <xf numFmtId="3" fontId="5" fillId="6" borderId="3" pivotButton="0" quotePrefix="0" xfId="0"/>
    <xf numFmtId="3" fontId="5" fillId="7" borderId="3" applyAlignment="1" pivotButton="0" quotePrefix="0" xfId="0">
      <alignment horizontal="right"/>
    </xf>
    <xf numFmtId="3" fontId="5" fillId="7" borderId="3" pivotButton="0" quotePrefix="0" xfId="0"/>
    <xf numFmtId="0" fontId="5" fillId="8" borderId="3" applyAlignment="1" pivotButton="0" quotePrefix="0" xfId="0">
      <alignment horizontal="right"/>
    </xf>
    <xf numFmtId="3" fontId="5" fillId="8" borderId="3" applyAlignment="1" pivotButton="0" quotePrefix="0" xfId="0">
      <alignment horizontal="right"/>
    </xf>
    <xf numFmtId="3" fontId="5" fillId="9" borderId="3" applyAlignment="1" pivotButton="0" quotePrefix="0" xfId="0">
      <alignment horizontal="right"/>
    </xf>
    <xf numFmtId="0" fontId="4" fillId="10" borderId="3" pivotButton="0" quotePrefix="0" xfId="0"/>
    <xf numFmtId="3" fontId="5" fillId="11" borderId="3" applyAlignment="1" pivotButton="0" quotePrefix="0" xfId="0">
      <alignment horizontal="right"/>
    </xf>
    <xf numFmtId="3" fontId="5" fillId="13" borderId="3" applyAlignment="1" pivotButton="0" quotePrefix="0" xfId="0">
      <alignment horizontal="right"/>
    </xf>
    <xf numFmtId="3" fontId="5" fillId="15" borderId="3" applyAlignment="1" pivotButton="0" quotePrefix="0" xfId="0">
      <alignment horizontal="right"/>
    </xf>
    <xf numFmtId="3" fontId="5" fillId="16" borderId="3" applyAlignment="1" pivotButton="0" quotePrefix="0" xfId="0">
      <alignment horizontal="right"/>
    </xf>
    <xf numFmtId="0" fontId="5" fillId="16" borderId="3" applyAlignment="1" pivotButton="0" quotePrefix="0" xfId="0">
      <alignment horizontal="right"/>
    </xf>
    <xf numFmtId="0" fontId="5" fillId="3" borderId="3" applyAlignment="1" pivotButton="0" quotePrefix="0" xfId="0">
      <alignment horizontal="right"/>
    </xf>
    <xf numFmtId="3" fontId="5" fillId="17" borderId="3" applyAlignment="1" pivotButton="0" quotePrefix="0" xfId="0">
      <alignment horizontal="right"/>
    </xf>
    <xf numFmtId="0" fontId="5" fillId="6" borderId="3" applyAlignment="1" pivotButton="0" quotePrefix="0" xfId="0">
      <alignment horizontal="right"/>
    </xf>
    <xf numFmtId="0" fontId="5" fillId="18" borderId="3" applyAlignment="1" pivotButton="0" quotePrefix="0" xfId="0">
      <alignment horizontal="right"/>
    </xf>
    <xf numFmtId="2" fontId="5" fillId="0" borderId="0" pivotButton="0" quotePrefix="0" xfId="0"/>
    <xf numFmtId="164" fontId="5" fillId="3" borderId="3" applyAlignment="1" pivotButton="0" quotePrefix="0" xfId="0">
      <alignment horizontal="right"/>
    </xf>
    <xf numFmtId="3" fontId="5" fillId="3" borderId="3" applyAlignment="1" pivotButton="0" quotePrefix="0" xfId="0">
      <alignment horizontal="right"/>
    </xf>
    <xf numFmtId="3" fontId="10" fillId="3" borderId="3" pivotButton="0" quotePrefix="0" xfId="0"/>
    <xf numFmtId="0" fontId="13" fillId="3" borderId="0" pivotButton="0" quotePrefix="0" xfId="0"/>
    <xf numFmtId="0" fontId="13" fillId="3" borderId="0" applyAlignment="1" pivotButton="0" quotePrefix="0" xfId="0">
      <alignment horizontal="left"/>
    </xf>
    <xf numFmtId="0" fontId="5" fillId="19" borderId="3" applyAlignment="1" pivotButton="0" quotePrefix="0" xfId="0">
      <alignment horizontal="right" wrapText="1"/>
    </xf>
    <xf numFmtId="0" fontId="5" fillId="19" borderId="13" applyAlignment="1" pivotButton="0" quotePrefix="0" xfId="0">
      <alignment horizontal="right" wrapText="1"/>
    </xf>
    <xf numFmtId="0" fontId="4" fillId="2" borderId="3" applyAlignment="1" pivotButton="0" quotePrefix="0" xfId="0">
      <alignment horizontal="center"/>
    </xf>
    <xf numFmtId="0" fontId="12" fillId="3" borderId="3" pivotButton="0" quotePrefix="0" xfId="0"/>
    <xf numFmtId="3" fontId="4" fillId="2" borderId="3" applyAlignment="1" pivotButton="0" quotePrefix="0" xfId="0">
      <alignment horizontal="right"/>
    </xf>
    <xf numFmtId="0" fontId="4" fillId="2" borderId="3" applyAlignment="1" pivotButton="0" quotePrefix="0" xfId="0">
      <alignment horizontal="center" wrapText="1"/>
    </xf>
    <xf numFmtId="3" fontId="4" fillId="4" borderId="3" applyAlignment="1" pivotButton="0" quotePrefix="0" xfId="0">
      <alignment horizontal="center"/>
    </xf>
    <xf numFmtId="0" fontId="13" fillId="3" borderId="0" applyAlignment="1" pivotButton="0" quotePrefix="0" xfId="0">
      <alignment horizontal="left"/>
    </xf>
    <xf numFmtId="0" fontId="13" fillId="3" borderId="0" applyAlignment="1" pivotButton="0" quotePrefix="0" xfId="0">
      <alignment horizontal="left" wrapText="1"/>
    </xf>
    <xf numFmtId="0" fontId="13" fillId="3" borderId="7" applyAlignment="1" pivotButton="0" quotePrefix="0" xfId="0">
      <alignment horizontal="left"/>
    </xf>
    <xf numFmtId="0" fontId="5" fillId="20" borderId="1" applyAlignment="1" pivotButton="0" quotePrefix="0" xfId="0">
      <alignment horizontal="left" wrapText="1"/>
    </xf>
    <xf numFmtId="0" fontId="0" fillId="0" borderId="7" pivotButton="0" quotePrefix="0" xfId="0"/>
    <xf numFmtId="0" fontId="0" fillId="0" borderId="18" pivotButton="0" quotePrefix="0" xfId="0"/>
    <xf numFmtId="0" fontId="0" fillId="0" borderId="19" pivotButton="0" quotePrefix="0" xfId="0"/>
    <xf numFmtId="0" fontId="0" fillId="0" borderId="5" pivotButton="0" quotePrefix="0" xfId="0"/>
    <xf numFmtId="0" fontId="15" fillId="0" borderId="20" applyAlignment="1" pivotButton="0" quotePrefix="0" xfId="0">
      <alignment horizontal="center" vertical="center"/>
    </xf>
    <xf numFmtId="0" fontId="15" fillId="0" borderId="20" applyAlignment="1" pivotButton="0" quotePrefix="0" xfId="0">
      <alignment horizontal="left" vertical="center"/>
    </xf>
    <xf numFmtId="0" fontId="15" fillId="0" borderId="20" applyAlignment="1" pivotButton="0" quotePrefix="0" xfId="0">
      <alignment horizontal="right" vertical="center"/>
    </xf>
    <xf numFmtId="0" fontId="16" fillId="0" borderId="20" applyAlignment="1" pivotButton="0" quotePrefix="0" xfId="0">
      <alignment horizontal="center" vertical="center"/>
    </xf>
    <xf numFmtId="0" fontId="16" fillId="0" borderId="20" applyAlignment="1" pivotButton="0" quotePrefix="0" xfId="0">
      <alignment horizontal="left" vertical="center"/>
    </xf>
    <xf numFmtId="0" fontId="16" fillId="0" borderId="20" applyAlignment="1" pivotButton="0" quotePrefix="0" xfId="0">
      <alignment horizontal="right" vertical="center"/>
    </xf>
    <xf numFmtId="0" fontId="17" fillId="0" borderId="20" applyAlignment="1" pivotButton="0" quotePrefix="0" xfId="0">
      <alignment horizontal="center" vertical="center"/>
    </xf>
    <xf numFmtId="0" fontId="17" fillId="0" borderId="20" applyAlignment="1" pivotButton="0" quotePrefix="0" xfId="0">
      <alignment horizontal="left" vertical="center"/>
    </xf>
    <xf numFmtId="0" fontId="17" fillId="0" borderId="20" applyAlignment="1" pivotButton="0" quotePrefix="0" xfId="0">
      <alignment horizontal="right" vertical="center"/>
    </xf>
    <xf numFmtId="0" fontId="18" fillId="0" borderId="20" applyAlignment="1" pivotButton="0" quotePrefix="0" xfId="0">
      <alignment horizontal="center" vertical="center"/>
    </xf>
    <xf numFmtId="0" fontId="18" fillId="0" borderId="20" applyAlignment="1" pivotButton="0" quotePrefix="0" xfId="0">
      <alignment horizontal="left" vertical="center"/>
    </xf>
    <xf numFmtId="0" fontId="18" fillId="0" borderId="20" applyAlignment="1" pivotButton="0" quotePrefix="0" xfId="0">
      <alignment horizontal="right" vertical="center"/>
    </xf>
    <xf numFmtId="0" fontId="19" fillId="0" borderId="20" applyAlignment="1" pivotButton="0" quotePrefix="0" xfId="0">
      <alignment horizontal="center" vertical="center"/>
    </xf>
    <xf numFmtId="0" fontId="19" fillId="0" borderId="20" applyAlignment="1" pivotButton="0" quotePrefix="0" xfId="0">
      <alignment horizontal="left" vertical="center"/>
    </xf>
    <xf numFmtId="0" fontId="19" fillId="0" borderId="20" applyAlignment="1" pivotButton="0" quotePrefix="0" xfId="0">
      <alignment horizontal="right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M171"/>
  <sheetViews>
    <sheetView showGridLines="1" tabSelected="1" view="pageBreakPreview" topLeftCell="A329" zoomScaleNormal="100" zoomScaleSheetLayoutView="100" workbookViewId="0">
      <selection activeCell="N454" sqref="N454"/>
    </sheetView>
  </sheetViews>
  <sheetFormatPr baseColWidth="10" defaultColWidth="12.5703125" defaultRowHeight="15.75" customHeight="1"/>
  <cols>
    <col width="15" customWidth="1" style="1" min="1" max="1"/>
    <col width="65" customWidth="1" style="1" min="2" max="2"/>
    <col width="10" customWidth="1" style="1" min="3" max="6"/>
    <col width="10" customWidth="1" min="4" max="4"/>
    <col width="10" customWidth="1" min="5" max="5"/>
    <col width="10" customWidth="1" min="6" max="6"/>
    <col width="12" customWidth="1" style="1" min="7" max="7"/>
    <col width="12" customWidth="1" style="1" min="8" max="8"/>
    <col width="10" customWidth="1" style="1" min="9" max="9"/>
    <col width="1" customWidth="1" style="2" min="10" max="10"/>
    <col hidden="1" width="9.140625" customWidth="1" style="2" min="11" max="12"/>
    <col width="9.140625" customWidth="1" style="2" min="13" max="26"/>
    <col width="12.5703125" customWidth="1" style="2" min="27" max="43"/>
    <col width="12.5703125" customWidth="1" style="2" min="44" max="60"/>
    <col width="12.5703125" customWidth="1" style="2" min="61" max="16384"/>
  </cols>
  <sheetData>
    <row r="1" ht="15.75" customHeight="1">
      <c r="A1" s="9" t="n"/>
      <c r="B1" s="10" t="n"/>
      <c r="C1" s="10" t="n"/>
      <c r="D1" s="10" t="n"/>
      <c r="E1" s="10" t="n"/>
      <c r="F1" s="10" t="n"/>
      <c r="G1" s="10" t="n"/>
      <c r="H1" s="10" t="n"/>
      <c r="I1" s="11" t="n"/>
    </row>
    <row r="2" ht="15.75" customHeight="1">
      <c r="A2" s="12" t="n"/>
      <c r="B2" s="13" t="n"/>
      <c r="C2" s="13" t="n"/>
      <c r="D2" s="13" t="n"/>
      <c r="E2" s="13" t="n"/>
      <c r="F2" s="13" t="n"/>
      <c r="G2" s="13" t="n"/>
      <c r="H2" s="13" t="n"/>
      <c r="I2" s="14" t="n"/>
    </row>
    <row r="3" ht="15.75" customHeight="1">
      <c r="A3" s="12" t="n"/>
      <c r="B3" s="13" t="n"/>
      <c r="C3" s="13" t="n"/>
      <c r="D3" s="13" t="n"/>
      <c r="E3" s="13" t="n"/>
      <c r="F3" s="13" t="n"/>
      <c r="G3" s="13" t="n"/>
      <c r="H3" s="13" t="n"/>
      <c r="I3" s="14" t="n"/>
    </row>
    <row r="4" ht="15.75" customHeight="1">
      <c r="A4" s="15" t="n"/>
      <c r="B4" s="16" t="n"/>
      <c r="C4" s="16" t="n"/>
      <c r="D4" s="16" t="n"/>
      <c r="E4" s="16" t="n"/>
      <c r="F4" s="16" t="n"/>
      <c r="G4" s="16" t="n"/>
      <c r="H4" s="16" t="n"/>
      <c r="I4" s="17" t="n"/>
    </row>
    <row r="5" ht="15.75" customHeight="1">
      <c r="A5" s="113" t="inlineStr">
        <is>
          <t>Proyecto     : "VIVIENDA UNIFAMILIAR DE 3 PISOS"</t>
        </is>
      </c>
      <c r="B5" s="115" t="n"/>
      <c r="C5" s="111" t="n"/>
      <c r="D5" s="111" t="n"/>
      <c r="E5" s="111" t="n"/>
      <c r="F5" s="111" t="n"/>
      <c r="G5" s="111" t="n"/>
      <c r="H5" s="111" t="n"/>
      <c r="I5" s="111" t="n"/>
    </row>
    <row r="6" ht="15.75" customHeight="1">
      <c r="A6" s="111" t="inlineStr">
        <is>
          <t>Propietario   : RENZO GABRIEL MAMANI GALINDO</t>
        </is>
      </c>
      <c r="C6" s="102" t="inlineStr">
        <is>
          <t>Fecha: JUNIO DE 2026</t>
        </is>
      </c>
      <c r="D6" s="102" t="n"/>
      <c r="E6" s="102" t="n"/>
      <c r="F6" s="102" t="n"/>
      <c r="G6" s="102" t="n"/>
      <c r="H6" s="102" t="n"/>
      <c r="I6" s="102" t="n"/>
      <c r="J6" s="102" t="n"/>
      <c r="K6" s="102" t="n"/>
      <c r="L6" s="102" t="n"/>
      <c r="M6" s="102" t="n"/>
    </row>
    <row r="7" ht="15.75" customHeight="1">
      <c r="A7" s="112" t="inlineStr">
        <is>
          <t>Especialidad: INSTALACIONES ELECTRICAS</t>
        </is>
      </c>
      <c r="C7" s="111" t="inlineStr">
        <is>
          <t>Especialista: EST. RENZO GABRIEL MAMANI GALINDO</t>
        </is>
      </c>
    </row>
    <row r="8" ht="15.75" customHeight="1">
      <c r="A8" s="102" t="n"/>
      <c r="B8" s="102" t="n"/>
      <c r="C8" s="102" t="n"/>
      <c r="D8" s="102" t="n"/>
      <c r="E8" s="102" t="n"/>
      <c r="F8" s="102" t="n"/>
      <c r="G8" s="102" t="n"/>
      <c r="H8" s="102" t="n"/>
      <c r="I8" s="102" t="n"/>
    </row>
    <row r="9" ht="12.75" customHeight="1">
      <c r="A9" s="106" t="inlineStr">
        <is>
          <t>ITEM</t>
        </is>
      </c>
      <c r="B9" s="109" t="inlineStr">
        <is>
          <t>DESCRIPCIÓN</t>
        </is>
      </c>
      <c r="C9" s="110" t="inlineStr">
        <is>
          <t>CANT.</t>
        </is>
      </c>
      <c r="D9" s="106" t="inlineStr">
        <is>
          <t>DIMENSIONES</t>
        </is>
      </c>
      <c r="E9" s="116" t="n"/>
      <c r="F9" s="117" t="n"/>
      <c r="G9" s="106" t="inlineStr">
        <is>
          <t>PARCIAL</t>
        </is>
      </c>
      <c r="H9" s="108" t="inlineStr">
        <is>
          <t>TOTAL</t>
        </is>
      </c>
      <c r="I9" s="19" t="inlineStr">
        <is>
          <t>und.</t>
        </is>
      </c>
    </row>
    <row r="10" ht="12.75" customHeight="1">
      <c r="A10" s="118" t="n"/>
      <c r="B10" s="118" t="n"/>
      <c r="C10" s="118" t="n"/>
      <c r="D10" s="106" t="inlineStr">
        <is>
          <t>LARGO</t>
        </is>
      </c>
      <c r="E10" s="106" t="inlineStr">
        <is>
          <t>ANCHO</t>
        </is>
      </c>
      <c r="F10" s="106" t="inlineStr">
        <is>
          <t>ALTO</t>
        </is>
      </c>
      <c r="G10" s="118" t="n"/>
      <c r="H10" s="118" t="n"/>
      <c r="I10" s="19" t="n"/>
    </row>
    <row r="11" ht="15.75" customHeight="1">
      <c r="A11" s="119" t="inlineStr">
        <is>
          <t>OE.5</t>
        </is>
      </c>
      <c r="B11" s="120" t="inlineStr">
        <is>
          <t>INSTALACIONES ELECTRICAS Y MECANICAS</t>
        </is>
      </c>
      <c r="C11" s="121" t="n"/>
      <c r="D11" s="121" t="n"/>
      <c r="E11" s="121" t="n"/>
      <c r="F11" s="121" t="n"/>
      <c r="G11" s="121" t="n"/>
      <c r="H11" s="121" t="n"/>
      <c r="I11" s="119" t="n"/>
    </row>
    <row r="12" ht="15.75" customHeight="1">
      <c r="A12" s="119" t="inlineStr">
        <is>
          <t>OE.5.1</t>
        </is>
      </c>
      <c r="B12" s="120" t="inlineStr">
        <is>
          <t>CONEXION A LA RED EXTERNA DE MEDIDORES</t>
        </is>
      </c>
      <c r="C12" s="121" t="n"/>
      <c r="D12" s="121" t="n"/>
      <c r="E12" s="121" t="n"/>
      <c r="F12" s="121" t="n"/>
      <c r="G12" s="121" t="n"/>
      <c r="H12" s="121" t="n"/>
      <c r="I12" s="119" t="n"/>
    </row>
    <row r="13" ht="15.75" customHeight="1">
      <c r="A13" s="122" t="inlineStr">
        <is>
          <t>OE.5.1.1</t>
        </is>
      </c>
      <c r="B13" s="123" t="inlineStr">
        <is>
          <t>SUMINISTRO DE ENERGIA</t>
        </is>
      </c>
      <c r="C13" s="124" t="n"/>
      <c r="D13" s="124" t="n"/>
      <c r="E13" s="124" t="n"/>
      <c r="F13" s="124" t="n"/>
      <c r="G13" s="124" t="n"/>
      <c r="H13" s="124" t="n"/>
      <c r="I13" s="122" t="n"/>
    </row>
    <row r="14" ht="15.75" customHeight="1">
      <c r="A14" s="125" t="inlineStr">
        <is>
          <t>OE.5.1.1.1</t>
        </is>
      </c>
      <c r="B14" s="126" t="inlineStr">
        <is>
          <t>Acometida e Instalación de Caja Portamedidor Monofásico referencial</t>
        </is>
      </c>
      <c r="C14" s="127" t="n">
        <v>1</v>
      </c>
      <c r="D14" s="127" t="n"/>
      <c r="E14" s="127" t="n"/>
      <c r="F14" s="127" t="n"/>
      <c r="G14" s="127">
        <f>C14</f>
        <v/>
      </c>
      <c r="H14" s="127">
        <f>G14</f>
        <v/>
      </c>
      <c r="I14" s="125" t="inlineStr">
        <is>
          <t>UND</t>
        </is>
      </c>
    </row>
    <row r="15" ht="15.75" customHeight="1">
      <c r="A15" s="119" t="inlineStr">
        <is>
          <t>OE.5.2</t>
        </is>
      </c>
      <c r="B15" s="120" t="inlineStr">
        <is>
          <t>SALIDAS PARA ALUMBRADO, TOMACORRIENTES, FUERZA</t>
        </is>
      </c>
      <c r="C15" s="121" t="n"/>
      <c r="D15" s="121" t="n"/>
      <c r="E15" s="121" t="n"/>
      <c r="F15" s="121" t="n"/>
      <c r="G15" s="121" t="n"/>
      <c r="H15" s="121" t="n"/>
      <c r="I15" s="119" t="n"/>
    </row>
    <row r="16" ht="15.75" customHeight="1">
      <c r="A16" s="122" t="inlineStr">
        <is>
          <t>OE.5.2.1</t>
        </is>
      </c>
      <c r="B16" s="123" t="inlineStr">
        <is>
          <t>SALIDAS</t>
        </is>
      </c>
      <c r="C16" s="124" t="n"/>
      <c r="D16" s="124" t="n"/>
      <c r="E16" s="124" t="n"/>
      <c r="F16" s="124" t="n"/>
      <c r="G16" s="124" t="n"/>
      <c r="H16" s="124" t="n"/>
      <c r="I16" s="122" t="n"/>
    </row>
    <row r="17" ht="15.75" customHeight="1">
      <c r="A17" s="128" t="inlineStr">
        <is>
          <t>OE.5.2.1.1</t>
        </is>
      </c>
      <c r="B17" s="129" t="inlineStr">
        <is>
          <t>SALIDA DE ALUMBRADO</t>
        </is>
      </c>
      <c r="C17" s="130" t="n"/>
      <c r="D17" s="130" t="n"/>
      <c r="E17" s="130" t="n"/>
      <c r="F17" s="130" t="n"/>
      <c r="G17" s="130" t="n"/>
      <c r="H17" s="130" t="n"/>
      <c r="I17" s="128" t="n"/>
    </row>
    <row r="18" ht="15.75" customHeight="1">
      <c r="A18" s="131" t="inlineStr">
        <is>
          <t>OE.5.2.1.1.1</t>
        </is>
      </c>
      <c r="B18" s="132" t="inlineStr">
        <is>
          <t>CAJA OCTOGONAL FºGº 100 x 50mm - SALIDA DE ALUMBRADO DE TECHO</t>
        </is>
      </c>
      <c r="C18" s="133" t="n"/>
      <c r="D18" s="133" t="n"/>
      <c r="E18" s="133" t="n"/>
      <c r="F18" s="133" t="n"/>
      <c r="G18" s="133" t="n"/>
      <c r="H18" s="133">
        <f>SUM(G19,G25,G31)</f>
        <v/>
      </c>
      <c r="I18" s="131" t="inlineStr">
        <is>
          <t>UND</t>
        </is>
      </c>
    </row>
    <row r="19" ht="15.75" customHeight="1">
      <c r="A19" s="131" t="n"/>
      <c r="B19" s="132" t="inlineStr">
        <is>
          <t>PRIMER NIVEL</t>
        </is>
      </c>
      <c r="C19" s="133" t="n"/>
      <c r="D19" s="133" t="n"/>
      <c r="E19" s="133" t="n"/>
      <c r="F19" s="133" t="n"/>
      <c r="G19" s="133">
        <f>SUM(C20:C24)</f>
        <v/>
      </c>
      <c r="H19" s="133" t="n"/>
      <c r="I19" s="131" t="n"/>
    </row>
    <row r="20" ht="15.75" customHeight="1">
      <c r="A20" s="125" t="n"/>
      <c r="B20" s="126" t="inlineStr">
        <is>
          <t>Tienda (Ambiente Frontal)</t>
        </is>
      </c>
      <c r="C20" s="127" t="n">
        <v>2</v>
      </c>
      <c r="D20" s="127" t="n"/>
      <c r="E20" s="127" t="n"/>
      <c r="F20" s="127" t="n"/>
      <c r="G20" s="127">
        <f>C20</f>
        <v/>
      </c>
      <c r="H20" s="127" t="n"/>
      <c r="I20" s="125" t="n"/>
    </row>
    <row r="21" ht="15.75" customHeight="1">
      <c r="A21" s="125" t="n"/>
      <c r="B21" s="126" t="inlineStr">
        <is>
          <t>Cocina</t>
        </is>
      </c>
      <c r="C21" s="127" t="n">
        <v>1</v>
      </c>
      <c r="D21" s="127" t="n"/>
      <c r="E21" s="127" t="n"/>
      <c r="F21" s="127" t="n"/>
      <c r="G21" s="127">
        <f>C21</f>
        <v/>
      </c>
      <c r="H21" s="127" t="n"/>
      <c r="I21" s="125" t="n"/>
    </row>
    <row r="22" ht="15.75" customHeight="1">
      <c r="A22" s="125" t="n"/>
      <c r="B22" s="126" t="inlineStr">
        <is>
          <t>Pasadizo de Acceso</t>
        </is>
      </c>
      <c r="C22" s="127" t="n">
        <v>1</v>
      </c>
      <c r="D22" s="127" t="n"/>
      <c r="E22" s="127" t="n"/>
      <c r="F22" s="127" t="n"/>
      <c r="G22" s="127">
        <f>C22</f>
        <v/>
      </c>
      <c r="H22" s="127" t="n"/>
      <c r="I22" s="125" t="n"/>
    </row>
    <row r="23" ht="15.75" customHeight="1">
      <c r="A23" s="125" t="n"/>
      <c r="B23" s="126" t="inlineStr">
        <is>
          <t>Caja de Escalera</t>
        </is>
      </c>
      <c r="C23" s="127" t="n">
        <v>1</v>
      </c>
      <c r="D23" s="127" t="n"/>
      <c r="E23" s="127" t="n"/>
      <c r="F23" s="127" t="n"/>
      <c r="G23" s="127">
        <f>C23</f>
        <v/>
      </c>
      <c r="H23" s="127" t="n"/>
      <c r="I23" s="125" t="n"/>
    </row>
    <row r="24" ht="15.75" customHeight="1">
      <c r="A24" s="125" t="n"/>
      <c r="B24" s="126" t="inlineStr">
        <is>
          <t>Exterior / Ingreso</t>
        </is>
      </c>
      <c r="C24" s="127" t="n">
        <v>1</v>
      </c>
      <c r="D24" s="127" t="n"/>
      <c r="E24" s="127" t="n"/>
      <c r="F24" s="127" t="n"/>
      <c r="G24" s="127">
        <f>C24</f>
        <v/>
      </c>
      <c r="H24" s="127" t="n"/>
      <c r="I24" s="125" t="n"/>
    </row>
    <row r="25" ht="15.75" customHeight="1">
      <c r="A25" s="131" t="n"/>
      <c r="B25" s="132" t="inlineStr">
        <is>
          <t>SEGUNDO NIVEL</t>
        </is>
      </c>
      <c r="C25" s="133" t="n"/>
      <c r="D25" s="133" t="n"/>
      <c r="E25" s="133" t="n"/>
      <c r="F25" s="133" t="n"/>
      <c r="G25" s="133">
        <f>SUM(C26:C30)</f>
        <v/>
      </c>
      <c r="H25" s="133" t="n"/>
      <c r="I25" s="131" t="n"/>
    </row>
    <row r="26" ht="15.75" customHeight="1">
      <c r="A26" s="125" t="n"/>
      <c r="B26" s="126" t="inlineStr">
        <is>
          <t>Dormitorio Principal</t>
        </is>
      </c>
      <c r="C26" s="127" t="n">
        <v>2</v>
      </c>
      <c r="D26" s="127" t="n"/>
      <c r="E26" s="127" t="n"/>
      <c r="F26" s="127" t="n"/>
      <c r="G26" s="127">
        <f>C26</f>
        <v/>
      </c>
      <c r="H26" s="127" t="n"/>
      <c r="I26" s="125" t="n"/>
    </row>
    <row r="27" ht="15.75" customHeight="1">
      <c r="A27" s="125" t="n"/>
      <c r="B27" s="126" t="inlineStr">
        <is>
          <t>Dormitorio 3</t>
        </is>
      </c>
      <c r="C27" s="127" t="n">
        <v>1</v>
      </c>
      <c r="D27" s="127" t="n"/>
      <c r="E27" s="127" t="n"/>
      <c r="F27" s="127" t="n"/>
      <c r="G27" s="127">
        <f>C27</f>
        <v/>
      </c>
      <c r="H27" s="127" t="n"/>
      <c r="I27" s="125" t="n"/>
    </row>
    <row r="28" ht="15.75" customHeight="1">
      <c r="A28" s="125" t="n"/>
      <c r="B28" s="126" t="inlineStr">
        <is>
          <t>Sala / Hall Común</t>
        </is>
      </c>
      <c r="C28" s="127" t="n">
        <v>1</v>
      </c>
      <c r="D28" s="127" t="n"/>
      <c r="E28" s="127" t="n"/>
      <c r="F28" s="127" t="n"/>
      <c r="G28" s="127">
        <f>C28</f>
        <v/>
      </c>
      <c r="H28" s="127" t="n"/>
      <c r="I28" s="125" t="n"/>
    </row>
    <row r="29" ht="15.75" customHeight="1">
      <c r="A29" s="125" t="n"/>
      <c r="B29" s="126" t="inlineStr">
        <is>
          <t>Baño Completo</t>
        </is>
      </c>
      <c r="C29" s="127" t="n">
        <v>1</v>
      </c>
      <c r="D29" s="127" t="n"/>
      <c r="E29" s="127" t="n"/>
      <c r="F29" s="127" t="n"/>
      <c r="G29" s="127">
        <f>C29</f>
        <v/>
      </c>
      <c r="H29" s="127" t="n"/>
      <c r="I29" s="125" t="n"/>
    </row>
    <row r="30" ht="15.75" customHeight="1">
      <c r="A30" s="125" t="n"/>
      <c r="B30" s="126" t="inlineStr">
        <is>
          <t>Caja de Escalera</t>
        </is>
      </c>
      <c r="C30" s="127" t="n">
        <v>1</v>
      </c>
      <c r="D30" s="127" t="n"/>
      <c r="E30" s="127" t="n"/>
      <c r="F30" s="127" t="n"/>
      <c r="G30" s="127">
        <f>C30</f>
        <v/>
      </c>
      <c r="H30" s="127" t="n"/>
      <c r="I30" s="125" t="n"/>
    </row>
    <row r="31" ht="15.75" customHeight="1">
      <c r="A31" s="131" t="n"/>
      <c r="B31" s="132" t="inlineStr">
        <is>
          <t>TERCER NIVEL</t>
        </is>
      </c>
      <c r="C31" s="133" t="n"/>
      <c r="D31" s="133" t="n"/>
      <c r="E31" s="133" t="n"/>
      <c r="F31" s="133" t="n"/>
      <c r="G31" s="133">
        <f>SUM(C32:C36)</f>
        <v/>
      </c>
      <c r="H31" s="133" t="n"/>
      <c r="I31" s="131" t="n"/>
    </row>
    <row r="32" ht="15.75" customHeight="1">
      <c r="A32" s="125" t="n"/>
      <c r="B32" s="126" t="inlineStr">
        <is>
          <t>Dormitorio 4</t>
        </is>
      </c>
      <c r="C32" s="127" t="n">
        <v>2</v>
      </c>
      <c r="D32" s="127" t="n"/>
      <c r="E32" s="127" t="n"/>
      <c r="F32" s="127" t="n"/>
      <c r="G32" s="127">
        <f>C32</f>
        <v/>
      </c>
      <c r="H32" s="127" t="n"/>
      <c r="I32" s="125" t="n"/>
    </row>
    <row r="33" ht="15.75" customHeight="1">
      <c r="A33" s="125" t="n"/>
      <c r="B33" s="126" t="inlineStr">
        <is>
          <t>Dormitorio 5</t>
        </is>
      </c>
      <c r="C33" s="127" t="n">
        <v>2</v>
      </c>
      <c r="D33" s="127" t="n"/>
      <c r="E33" s="127" t="n"/>
      <c r="F33" s="127" t="n"/>
      <c r="G33" s="127">
        <f>C33</f>
        <v/>
      </c>
      <c r="H33" s="127" t="n"/>
      <c r="I33" s="125" t="n"/>
    </row>
    <row r="34" ht="15.75" customHeight="1">
      <c r="A34" s="125" t="n"/>
      <c r="B34" s="126" t="inlineStr">
        <is>
          <t>Pasadizo / Vestíbulo</t>
        </is>
      </c>
      <c r="C34" s="127" t="n">
        <v>1</v>
      </c>
      <c r="D34" s="127" t="n"/>
      <c r="E34" s="127" t="n"/>
      <c r="F34" s="127" t="n"/>
      <c r="G34" s="127">
        <f>C34</f>
        <v/>
      </c>
      <c r="H34" s="127" t="n"/>
      <c r="I34" s="125" t="n"/>
    </row>
    <row r="35" ht="15.75" customHeight="1">
      <c r="A35" s="125" t="n"/>
      <c r="B35" s="126" t="inlineStr">
        <is>
          <t>Baño / Lavandería</t>
        </is>
      </c>
      <c r="C35" s="127" t="n">
        <v>1</v>
      </c>
      <c r="D35" s="127" t="n"/>
      <c r="E35" s="127" t="n"/>
      <c r="F35" s="127" t="n"/>
      <c r="G35" s="127">
        <f>C35</f>
        <v/>
      </c>
      <c r="H35" s="127" t="n"/>
      <c r="I35" s="125" t="n"/>
    </row>
    <row r="36" ht="15.75" customHeight="1">
      <c r="A36" s="125" t="n"/>
      <c r="B36" s="126" t="inlineStr">
        <is>
          <t>Caja de Escalera</t>
        </is>
      </c>
      <c r="C36" s="127" t="n">
        <v>1</v>
      </c>
      <c r="D36" s="127" t="n"/>
      <c r="E36" s="127" t="n"/>
      <c r="F36" s="127" t="n"/>
      <c r="G36" s="127">
        <f>C36</f>
        <v/>
      </c>
      <c r="H36" s="127" t="n"/>
      <c r="I36" s="125" t="n"/>
    </row>
    <row r="37" ht="15.75" customHeight="1">
      <c r="A37" s="131" t="inlineStr">
        <is>
          <t>OE.5.2.1.1.2</t>
        </is>
      </c>
      <c r="B37" s="132" t="inlineStr">
        <is>
          <t>CAJA RECTANGULAR FG 4"x2" - SALIDA PARA INTERRUPTORES</t>
        </is>
      </c>
      <c r="C37" s="133" t="n"/>
      <c r="D37" s="133" t="n"/>
      <c r="E37" s="133" t="n"/>
      <c r="F37" s="133" t="n"/>
      <c r="G37" s="133" t="n"/>
      <c r="H37" s="133">
        <f>SUM(G38,G40,G42)</f>
        <v/>
      </c>
      <c r="I37" s="131" t="inlineStr">
        <is>
          <t>pza</t>
        </is>
      </c>
    </row>
    <row r="38" ht="15.75" customHeight="1">
      <c r="A38" s="131" t="n"/>
      <c r="B38" s="132" t="inlineStr">
        <is>
          <t>PRIMER NIVEL</t>
        </is>
      </c>
      <c r="C38" s="133" t="n"/>
      <c r="D38" s="133" t="n"/>
      <c r="E38" s="133" t="n"/>
      <c r="F38" s="133" t="n"/>
      <c r="G38" s="133">
        <f>SUM(C39:C39)</f>
        <v/>
      </c>
      <c r="H38" s="133" t="n"/>
      <c r="I38" s="131" t="n"/>
    </row>
    <row r="39" ht="15.75" customHeight="1">
      <c r="A39" s="125" t="n"/>
      <c r="B39" s="126" t="inlineStr">
        <is>
          <t>Interruptores Simples y de Conmutacion</t>
        </is>
      </c>
      <c r="C39" s="127" t="n">
        <v>4</v>
      </c>
      <c r="D39" s="127" t="n"/>
      <c r="E39" s="127" t="n"/>
      <c r="F39" s="127" t="n"/>
      <c r="G39" s="127">
        <f>C39</f>
        <v/>
      </c>
      <c r="H39" s="127" t="n"/>
      <c r="I39" s="125" t="n"/>
    </row>
    <row r="40" ht="15.75" customHeight="1">
      <c r="A40" s="131" t="n"/>
      <c r="B40" s="132" t="inlineStr">
        <is>
          <t>SEGUNDO NIVEL</t>
        </is>
      </c>
      <c r="C40" s="133" t="n"/>
      <c r="D40" s="133" t="n"/>
      <c r="E40" s="133" t="n"/>
      <c r="F40" s="133" t="n"/>
      <c r="G40" s="133">
        <f>SUM(C41:C41)</f>
        <v/>
      </c>
      <c r="H40" s="133" t="n"/>
      <c r="I40" s="131" t="n"/>
    </row>
    <row r="41" ht="15.75" customHeight="1">
      <c r="A41" s="125" t="n"/>
      <c r="B41" s="126" t="inlineStr">
        <is>
          <t>Interruptores Simples y de Conmutacion</t>
        </is>
      </c>
      <c r="C41" s="127" t="n">
        <v>3</v>
      </c>
      <c r="D41" s="127" t="n"/>
      <c r="E41" s="127" t="n"/>
      <c r="F41" s="127" t="n"/>
      <c r="G41" s="127">
        <f>C41</f>
        <v/>
      </c>
      <c r="H41" s="127" t="n"/>
      <c r="I41" s="125" t="n"/>
    </row>
    <row r="42" ht="15.75" customHeight="1">
      <c r="A42" s="131" t="n"/>
      <c r="B42" s="132" t="inlineStr">
        <is>
          <t>TERCER NIVEL</t>
        </is>
      </c>
      <c r="C42" s="133" t="n"/>
      <c r="D42" s="133" t="n"/>
      <c r="E42" s="133" t="n"/>
      <c r="F42" s="133" t="n"/>
      <c r="G42" s="133">
        <f>SUM(C43:C43)</f>
        <v/>
      </c>
      <c r="H42" s="133" t="n"/>
      <c r="I42" s="131" t="n"/>
    </row>
    <row r="43" ht="15.75" customHeight="1">
      <c r="A43" s="125" t="n"/>
      <c r="B43" s="126" t="inlineStr">
        <is>
          <t>Interruptores Simples y de Conmutacion</t>
        </is>
      </c>
      <c r="C43" s="127" t="n">
        <v>3</v>
      </c>
      <c r="D43" s="127" t="n"/>
      <c r="E43" s="127" t="n"/>
      <c r="F43" s="127" t="n"/>
      <c r="G43" s="127">
        <f>C43</f>
        <v/>
      </c>
      <c r="H43" s="127" t="n"/>
      <c r="I43" s="125" t="n"/>
    </row>
    <row r="44" ht="15.75" customHeight="1">
      <c r="A44" s="128" t="inlineStr">
        <is>
          <t>OE.5.2.1.2</t>
        </is>
      </c>
      <c r="B44" s="129" t="inlineStr">
        <is>
          <t>SALIDA PARA TOMACORRIENTES</t>
        </is>
      </c>
      <c r="C44" s="130" t="n"/>
      <c r="D44" s="130" t="n"/>
      <c r="E44" s="130" t="n"/>
      <c r="F44" s="130" t="n"/>
      <c r="G44" s="130" t="n"/>
      <c r="H44" s="130" t="n"/>
      <c r="I44" s="128" t="n"/>
    </row>
    <row r="45" ht="15.75" customHeight="1">
      <c r="A45" s="131" t="inlineStr">
        <is>
          <t>OE.5.2.1.2.1</t>
        </is>
      </c>
      <c r="B45" s="132" t="inlineStr">
        <is>
          <t>CAJA RECTANGULAR FG 4"x2" - SALIDA DE TOMACORRIENTE DOBLE CON TIERRA</t>
        </is>
      </c>
      <c r="C45" s="133" t="n"/>
      <c r="D45" s="133" t="n"/>
      <c r="E45" s="133" t="n"/>
      <c r="F45" s="133" t="n"/>
      <c r="G45" s="133" t="n"/>
      <c r="H45" s="133">
        <f>SUM(G46,G50,G54)</f>
        <v/>
      </c>
      <c r="I45" s="131" t="inlineStr">
        <is>
          <t>pza</t>
        </is>
      </c>
    </row>
    <row r="46" ht="15.75" customHeight="1">
      <c r="A46" s="131" t="n"/>
      <c r="B46" s="132" t="inlineStr">
        <is>
          <t>PRIMER NIVEL</t>
        </is>
      </c>
      <c r="C46" s="133" t="n"/>
      <c r="D46" s="133" t="n"/>
      <c r="E46" s="133" t="n"/>
      <c r="F46" s="133" t="n"/>
      <c r="G46" s="133">
        <f>SUM(C47:C49)</f>
        <v/>
      </c>
      <c r="H46" s="133" t="n"/>
      <c r="I46" s="131" t="n"/>
    </row>
    <row r="47" ht="15.75" customHeight="1">
      <c r="A47" s="125" t="n"/>
      <c r="B47" s="126" t="inlineStr">
        <is>
          <t>Tienda (Ambiente Frontal)</t>
        </is>
      </c>
      <c r="C47" s="127" t="n">
        <v>4</v>
      </c>
      <c r="D47" s="127" t="n"/>
      <c r="E47" s="127" t="n"/>
      <c r="F47" s="127" t="n"/>
      <c r="G47" s="127">
        <f>C47</f>
        <v/>
      </c>
      <c r="H47" s="127" t="n"/>
      <c r="I47" s="125" t="n"/>
    </row>
    <row r="48" ht="15.75" customHeight="1">
      <c r="A48" s="125" t="n"/>
      <c r="B48" s="126" t="inlineStr">
        <is>
          <t>Cocina (Uso General)</t>
        </is>
      </c>
      <c r="C48" s="127" t="n">
        <v>4</v>
      </c>
      <c r="D48" s="127" t="n"/>
      <c r="E48" s="127" t="n"/>
      <c r="F48" s="127" t="n"/>
      <c r="G48" s="127">
        <f>C48</f>
        <v/>
      </c>
      <c r="H48" s="127" t="n"/>
      <c r="I48" s="125" t="n"/>
    </row>
    <row r="49" ht="15.75" customHeight="1">
      <c r="A49" s="125" t="n"/>
      <c r="B49" s="126" t="inlineStr">
        <is>
          <t>Pasadizo de Acceso</t>
        </is>
      </c>
      <c r="C49" s="127" t="n">
        <v>1</v>
      </c>
      <c r="D49" s="127" t="n"/>
      <c r="E49" s="127" t="n"/>
      <c r="F49" s="127" t="n"/>
      <c r="G49" s="127">
        <f>C49</f>
        <v/>
      </c>
      <c r="H49" s="127" t="n"/>
      <c r="I49" s="125" t="n"/>
    </row>
    <row r="50" ht="15.75" customHeight="1">
      <c r="A50" s="131" t="n"/>
      <c r="B50" s="132" t="inlineStr">
        <is>
          <t>SEGUNDO NIVEL</t>
        </is>
      </c>
      <c r="C50" s="133" t="n"/>
      <c r="D50" s="133" t="n"/>
      <c r="E50" s="133" t="n"/>
      <c r="F50" s="133" t="n"/>
      <c r="G50" s="133">
        <f>SUM(C51:C53)</f>
        <v/>
      </c>
      <c r="H50" s="133" t="n"/>
      <c r="I50" s="131" t="n"/>
    </row>
    <row r="51" ht="15.75" customHeight="1">
      <c r="A51" s="125" t="n"/>
      <c r="B51" s="126" t="inlineStr">
        <is>
          <t>Dormitorio Principal</t>
        </is>
      </c>
      <c r="C51" s="127" t="n">
        <v>4</v>
      </c>
      <c r="D51" s="127" t="n"/>
      <c r="E51" s="127" t="n"/>
      <c r="F51" s="127" t="n"/>
      <c r="G51" s="127">
        <f>C51</f>
        <v/>
      </c>
      <c r="H51" s="127" t="n"/>
      <c r="I51" s="125" t="n"/>
    </row>
    <row r="52" ht="15.75" customHeight="1">
      <c r="A52" s="125" t="n"/>
      <c r="B52" s="126" t="inlineStr">
        <is>
          <t>Dormitorio 3</t>
        </is>
      </c>
      <c r="C52" s="127" t="n">
        <v>2</v>
      </c>
      <c r="D52" s="127" t="n"/>
      <c r="E52" s="127" t="n"/>
      <c r="F52" s="127" t="n"/>
      <c r="G52" s="127">
        <f>C52</f>
        <v/>
      </c>
      <c r="H52" s="127" t="n"/>
      <c r="I52" s="125" t="n"/>
    </row>
    <row r="53" ht="15.75" customHeight="1">
      <c r="A53" s="125" t="n"/>
      <c r="B53" s="126" t="inlineStr">
        <is>
          <t>Sala / Hall Común</t>
        </is>
      </c>
      <c r="C53" s="127" t="n">
        <v>2</v>
      </c>
      <c r="D53" s="127" t="n"/>
      <c r="E53" s="127" t="n"/>
      <c r="F53" s="127" t="n"/>
      <c r="G53" s="127">
        <f>C53</f>
        <v/>
      </c>
      <c r="H53" s="127" t="n"/>
      <c r="I53" s="125" t="n"/>
    </row>
    <row r="54" ht="15.75" customHeight="1">
      <c r="A54" s="131" t="n"/>
      <c r="B54" s="132" t="inlineStr">
        <is>
          <t>TERCER NIVEL</t>
        </is>
      </c>
      <c r="C54" s="133" t="n"/>
      <c r="D54" s="133" t="n"/>
      <c r="E54" s="133" t="n"/>
      <c r="F54" s="133" t="n"/>
      <c r="G54" s="133">
        <f>SUM(C55:C57)</f>
        <v/>
      </c>
      <c r="H54" s="133" t="n"/>
      <c r="I54" s="131" t="n"/>
    </row>
    <row r="55" ht="15.75" customHeight="1">
      <c r="A55" s="125" t="n"/>
      <c r="B55" s="126" t="inlineStr">
        <is>
          <t>Dormitorio 4</t>
        </is>
      </c>
      <c r="C55" s="127" t="n">
        <v>3</v>
      </c>
      <c r="D55" s="127" t="n"/>
      <c r="E55" s="127" t="n"/>
      <c r="F55" s="127" t="n"/>
      <c r="G55" s="127">
        <f>C55</f>
        <v/>
      </c>
      <c r="H55" s="127" t="n"/>
      <c r="I55" s="125" t="n"/>
    </row>
    <row r="56" ht="15.75" customHeight="1">
      <c r="A56" s="125" t="n"/>
      <c r="B56" s="126" t="inlineStr">
        <is>
          <t>Dormitorio 5</t>
        </is>
      </c>
      <c r="C56" s="127" t="n">
        <v>3</v>
      </c>
      <c r="D56" s="127" t="n"/>
      <c r="E56" s="127" t="n"/>
      <c r="F56" s="127" t="n"/>
      <c r="G56" s="127">
        <f>C56</f>
        <v/>
      </c>
      <c r="H56" s="127" t="n"/>
      <c r="I56" s="125" t="n"/>
    </row>
    <row r="57" ht="15.75" customHeight="1">
      <c r="A57" s="125" t="n"/>
      <c r="B57" s="126" t="inlineStr">
        <is>
          <t>Pasadizo / Vestíbulo</t>
        </is>
      </c>
      <c r="C57" s="127" t="n">
        <v>1</v>
      </c>
      <c r="D57" s="127" t="n"/>
      <c r="E57" s="127" t="n"/>
      <c r="F57" s="127" t="n"/>
      <c r="G57" s="127">
        <f>C57</f>
        <v/>
      </c>
      <c r="H57" s="127" t="n"/>
      <c r="I57" s="125" t="n"/>
    </row>
    <row r="58" ht="15.75" customHeight="1">
      <c r="A58" s="131" t="inlineStr">
        <is>
          <t>OE.5.2.1.2.2</t>
        </is>
      </c>
      <c r="B58" s="132" t="inlineStr">
        <is>
          <t>CAJA RECTANGULAR FG 4"x2" - SALIDA DE TOMACORRIENTE DOBLE CON PROTECCION GFCI</t>
        </is>
      </c>
      <c r="C58" s="133" t="n"/>
      <c r="D58" s="133" t="n"/>
      <c r="E58" s="133" t="n"/>
      <c r="F58" s="133" t="n"/>
      <c r="G58" s="133" t="n"/>
      <c r="H58" s="133">
        <f>SUM(G59,G61)</f>
        <v/>
      </c>
      <c r="I58" s="131" t="inlineStr">
        <is>
          <t>pza</t>
        </is>
      </c>
    </row>
    <row r="59" ht="15.75" customHeight="1">
      <c r="A59" s="131" t="n"/>
      <c r="B59" s="132" t="inlineStr">
        <is>
          <t>SEGUNDO NIVEL</t>
        </is>
      </c>
      <c r="C59" s="133" t="n"/>
      <c r="D59" s="133" t="n"/>
      <c r="E59" s="133" t="n"/>
      <c r="F59" s="133" t="n"/>
      <c r="G59" s="133">
        <f>SUM(C60:C60)</f>
        <v/>
      </c>
      <c r="H59" s="133" t="n"/>
      <c r="I59" s="131" t="n"/>
    </row>
    <row r="60" ht="15.75" customHeight="1">
      <c r="A60" s="125" t="n"/>
      <c r="B60" s="126" t="inlineStr">
        <is>
          <t>Baño Completo</t>
        </is>
      </c>
      <c r="C60" s="127" t="n">
        <v>1</v>
      </c>
      <c r="D60" s="127" t="n"/>
      <c r="E60" s="127" t="n"/>
      <c r="F60" s="127" t="n"/>
      <c r="G60" s="127">
        <f>C60</f>
        <v/>
      </c>
      <c r="H60" s="127" t="n"/>
      <c r="I60" s="125" t="n"/>
    </row>
    <row r="61" ht="15.75" customHeight="1">
      <c r="A61" s="131" t="n"/>
      <c r="B61" s="132" t="inlineStr">
        <is>
          <t>TERCER NIVEL</t>
        </is>
      </c>
      <c r="C61" s="133" t="n"/>
      <c r="D61" s="133" t="n"/>
      <c r="E61" s="133" t="n"/>
      <c r="F61" s="133" t="n"/>
      <c r="G61" s="133">
        <f>SUM(C62:C62)</f>
        <v/>
      </c>
      <c r="H61" s="133" t="n"/>
      <c r="I61" s="131" t="n"/>
    </row>
    <row r="62" ht="15.75" customHeight="1">
      <c r="A62" s="125" t="n"/>
      <c r="B62" s="126" t="inlineStr">
        <is>
          <t>Baño / Lavandería</t>
        </is>
      </c>
      <c r="C62" s="127" t="n">
        <v>1</v>
      </c>
      <c r="D62" s="127" t="n"/>
      <c r="E62" s="127" t="n"/>
      <c r="F62" s="127" t="n"/>
      <c r="G62" s="127">
        <f>C62</f>
        <v/>
      </c>
      <c r="H62" s="127" t="n"/>
      <c r="I62" s="125" t="n"/>
    </row>
    <row r="63" ht="15.75" customHeight="1">
      <c r="A63" s="131" t="inlineStr">
        <is>
          <t>OE.5.2.1.2.3</t>
        </is>
      </c>
      <c r="B63" s="132" t="inlineStr">
        <is>
          <t>CAJA RECTANGULAR FG 4"x2" - SALIDA DE TOMACORRIENTE SERVICIO PESADO 20A</t>
        </is>
      </c>
      <c r="C63" s="133" t="n"/>
      <c r="D63" s="133" t="n"/>
      <c r="E63" s="133" t="n"/>
      <c r="F63" s="133" t="n"/>
      <c r="G63" s="133" t="n"/>
      <c r="H63" s="133">
        <f>SUM(G64,G67)</f>
        <v/>
      </c>
      <c r="I63" s="131" t="inlineStr">
        <is>
          <t>pza</t>
        </is>
      </c>
    </row>
    <row r="64" ht="15.75" customHeight="1">
      <c r="A64" s="131" t="n"/>
      <c r="B64" s="132" t="inlineStr">
        <is>
          <t>PRIMER NIVEL</t>
        </is>
      </c>
      <c r="C64" s="133" t="n"/>
      <c r="D64" s="133" t="n"/>
      <c r="E64" s="133" t="n"/>
      <c r="F64" s="133" t="n"/>
      <c r="G64" s="133">
        <f>SUM(C65:C66)</f>
        <v/>
      </c>
      <c r="H64" s="133" t="n"/>
      <c r="I64" s="131" t="n"/>
    </row>
    <row r="65" ht="15.75" customHeight="1">
      <c r="A65" s="125" t="n"/>
      <c r="B65" s="126" t="inlineStr">
        <is>
          <t>Cocina (Microondas / Cocina Eléctrica)</t>
        </is>
      </c>
      <c r="C65" s="127" t="n">
        <v>1</v>
      </c>
      <c r="D65" s="127" t="n"/>
      <c r="E65" s="127" t="n"/>
      <c r="F65" s="127" t="n"/>
      <c r="G65" s="127">
        <f>C65</f>
        <v/>
      </c>
      <c r="H65" s="127" t="n"/>
      <c r="I65" s="125" t="n"/>
    </row>
    <row r="66" ht="15.75" customHeight="1">
      <c r="A66" s="125" t="n"/>
      <c r="B66" s="126" t="inlineStr">
        <is>
          <t>Bomba de Agua (Servicio)</t>
        </is>
      </c>
      <c r="C66" s="127" t="n">
        <v>1</v>
      </c>
      <c r="D66" s="127" t="n"/>
      <c r="E66" s="127" t="n"/>
      <c r="F66" s="127" t="n"/>
      <c r="G66" s="127">
        <f>C66</f>
        <v/>
      </c>
      <c r="H66" s="127" t="n"/>
      <c r="I66" s="125" t="n"/>
    </row>
    <row r="67" ht="15.75" customHeight="1">
      <c r="A67" s="131" t="n"/>
      <c r="B67" s="132" t="inlineStr">
        <is>
          <t>TERCER NIVEL</t>
        </is>
      </c>
      <c r="C67" s="133" t="n"/>
      <c r="D67" s="133" t="n"/>
      <c r="E67" s="133" t="n"/>
      <c r="F67" s="133" t="n"/>
      <c r="G67" s="133">
        <f>SUM(C68:C68)</f>
        <v/>
      </c>
      <c r="H67" s="133" t="n"/>
      <c r="I67" s="131" t="n"/>
    </row>
    <row r="68" ht="15.75" customHeight="1">
      <c r="A68" s="125" t="n"/>
      <c r="B68" s="126" t="inlineStr">
        <is>
          <t>Lavandería (Lavadora)</t>
        </is>
      </c>
      <c r="C68" s="127" t="n">
        <v>1</v>
      </c>
      <c r="D68" s="127" t="n"/>
      <c r="E68" s="127" t="n"/>
      <c r="F68" s="127" t="n"/>
      <c r="G68" s="127">
        <f>C68</f>
        <v/>
      </c>
      <c r="H68" s="127" t="n"/>
      <c r="I68" s="125" t="n"/>
    </row>
    <row r="69" ht="15.75" customHeight="1">
      <c r="A69" s="122" t="inlineStr">
        <is>
          <t>OE.5.2.2</t>
        </is>
      </c>
      <c r="B69" s="123" t="inlineStr">
        <is>
          <t>CANALIZACIONES, TUBERIAS Y CONDUCTOS</t>
        </is>
      </c>
      <c r="C69" s="124" t="n"/>
      <c r="D69" s="124" t="n"/>
      <c r="E69" s="124" t="n"/>
      <c r="F69" s="124" t="n"/>
      <c r="G69" s="124" t="n"/>
      <c r="H69" s="124" t="n"/>
      <c r="I69" s="122" t="n"/>
    </row>
    <row r="70" ht="15.75" customHeight="1">
      <c r="A70" s="131" t="inlineStr">
        <is>
          <t>OE.5.2.2.1</t>
        </is>
      </c>
      <c r="B70" s="132" t="inlineStr">
        <is>
          <t>Tubería PVC Liviana (PV-L) 3/4" (Canalización Alumbrado)</t>
        </is>
      </c>
      <c r="C70" s="133" t="n"/>
      <c r="D70" s="133" t="n"/>
      <c r="E70" s="133" t="n"/>
      <c r="F70" s="133" t="n"/>
      <c r="G70" s="133" t="n"/>
      <c r="H70" s="133">
        <f>SUM(G71,G74,G77)</f>
        <v/>
      </c>
      <c r="I70" s="131" t="inlineStr">
        <is>
          <t>m</t>
        </is>
      </c>
    </row>
    <row r="71" ht="15.75" customHeight="1">
      <c r="A71" s="131" t="n"/>
      <c r="B71" s="132" t="inlineStr">
        <is>
          <t>PRIMER NIVEL</t>
        </is>
      </c>
      <c r="C71" s="133" t="n"/>
      <c r="D71" s="133" t="n"/>
      <c r="E71" s="133" t="n"/>
      <c r="F71" s="133" t="n"/>
      <c r="G71" s="133">
        <f>SUM(G72:G73)</f>
        <v/>
      </c>
      <c r="H71" s="133" t="n"/>
      <c r="I71" s="131" t="n"/>
    </row>
    <row r="72" ht="15.75" customHeight="1">
      <c r="A72" s="125" t="n"/>
      <c r="B72" s="126" t="inlineStr">
        <is>
          <t>Recorrido Horizontal (En losa de techo)</t>
        </is>
      </c>
      <c r="C72" s="127" t="n">
        <v>1</v>
      </c>
      <c r="D72" s="127" t="n">
        <v>35</v>
      </c>
      <c r="E72" s="127" t="n"/>
      <c r="F72" s="127" t="n"/>
      <c r="G72" s="127">
        <f>C72*D72</f>
        <v/>
      </c>
      <c r="H72" s="127" t="n"/>
      <c r="I72" s="125" t="n"/>
    </row>
    <row r="73" ht="15.75" customHeight="1">
      <c r="A73" s="125" t="n"/>
      <c r="B73" s="126" t="inlineStr">
        <is>
          <t>Verticales: Bajadas a Cajas de Interruptores (h = 1.40 m)</t>
        </is>
      </c>
      <c r="C73" s="127" t="n">
        <v>3</v>
      </c>
      <c r="D73" s="127" t="n">
        <v>1.4</v>
      </c>
      <c r="E73" s="127" t="n"/>
      <c r="F73" s="127" t="n"/>
      <c r="G73" s="127">
        <f>C73*D73</f>
        <v/>
      </c>
      <c r="H73" s="127" t="n"/>
      <c r="I73" s="125" t="n"/>
    </row>
    <row r="74" ht="15.75" customHeight="1">
      <c r="A74" s="131" t="n"/>
      <c r="B74" s="132" t="inlineStr">
        <is>
          <t>SEGUNDO NIVEL</t>
        </is>
      </c>
      <c r="C74" s="133" t="n"/>
      <c r="D74" s="133" t="n"/>
      <c r="E74" s="133" t="n"/>
      <c r="F74" s="133" t="n"/>
      <c r="G74" s="133">
        <f>SUM(G75:G76)</f>
        <v/>
      </c>
      <c r="H74" s="133" t="n"/>
      <c r="I74" s="131" t="n"/>
    </row>
    <row r="75" ht="15.75" customHeight="1">
      <c r="A75" s="125" t="n"/>
      <c r="B75" s="126" t="inlineStr">
        <is>
          <t>Recorrido Horizontal (En losa de techo)</t>
        </is>
      </c>
      <c r="C75" s="127" t="n">
        <v>1</v>
      </c>
      <c r="D75" s="127" t="n">
        <v>35</v>
      </c>
      <c r="E75" s="127" t="n"/>
      <c r="F75" s="127" t="n"/>
      <c r="G75" s="127">
        <f>C75*D75</f>
        <v/>
      </c>
      <c r="H75" s="127" t="n"/>
      <c r="I75" s="125" t="n"/>
    </row>
    <row r="76" ht="15.75" customHeight="1">
      <c r="A76" s="125" t="n"/>
      <c r="B76" s="126" t="inlineStr">
        <is>
          <t>Verticales: Bajadas a Cajas de Interruptores (h = 1.40 m)</t>
        </is>
      </c>
      <c r="C76" s="127" t="n">
        <v>3</v>
      </c>
      <c r="D76" s="127" t="n">
        <v>1.4</v>
      </c>
      <c r="E76" s="127" t="n"/>
      <c r="F76" s="127" t="n"/>
      <c r="G76" s="127">
        <f>C76*D76</f>
        <v/>
      </c>
      <c r="H76" s="127" t="n"/>
      <c r="I76" s="125" t="n"/>
    </row>
    <row r="77" ht="15.75" customHeight="1">
      <c r="A77" s="131" t="n"/>
      <c r="B77" s="132" t="inlineStr">
        <is>
          <t>TERCER NIVEL</t>
        </is>
      </c>
      <c r="C77" s="133" t="n"/>
      <c r="D77" s="133" t="n"/>
      <c r="E77" s="133" t="n"/>
      <c r="F77" s="133" t="n"/>
      <c r="G77" s="133">
        <f>SUM(G78:G79)</f>
        <v/>
      </c>
      <c r="H77" s="133" t="n"/>
      <c r="I77" s="131" t="n"/>
    </row>
    <row r="78" ht="15.75" customHeight="1">
      <c r="A78" s="125" t="n"/>
      <c r="B78" s="126" t="inlineStr">
        <is>
          <t>Recorrido Horizontal (En losa de techo)</t>
        </is>
      </c>
      <c r="C78" s="127" t="n">
        <v>1</v>
      </c>
      <c r="D78" s="127" t="n">
        <v>36.4</v>
      </c>
      <c r="E78" s="127" t="n"/>
      <c r="F78" s="127" t="n"/>
      <c r="G78" s="127">
        <f>C78*D78</f>
        <v/>
      </c>
      <c r="H78" s="127" t="n"/>
      <c r="I78" s="125" t="n"/>
    </row>
    <row r="79" ht="15.75" customHeight="1">
      <c r="A79" s="125" t="n"/>
      <c r="B79" s="126" t="inlineStr">
        <is>
          <t>Verticales: Bajadas a Cajas de Interruptores (h = 1.40 m)</t>
        </is>
      </c>
      <c r="C79" s="127" t="n">
        <v>4</v>
      </c>
      <c r="D79" s="127" t="n">
        <v>1.4</v>
      </c>
      <c r="E79" s="127" t="n"/>
      <c r="F79" s="127" t="n"/>
      <c r="G79" s="127">
        <f>C79*D79</f>
        <v/>
      </c>
      <c r="H79" s="127" t="n"/>
      <c r="I79" s="125" t="n"/>
    </row>
    <row r="80" ht="15.75" customHeight="1">
      <c r="A80" s="131" t="inlineStr">
        <is>
          <t>OE.5.2.2.2</t>
        </is>
      </c>
      <c r="B80" s="132" t="inlineStr">
        <is>
          <t>Tubería PVC Pesada (PV-P) 3/4" (Canalización Tomacorrientes)</t>
        </is>
      </c>
      <c r="C80" s="133" t="n"/>
      <c r="D80" s="133" t="n"/>
      <c r="E80" s="133" t="n"/>
      <c r="F80" s="133" t="n"/>
      <c r="G80" s="133" t="n"/>
      <c r="H80" s="133">
        <f>SUM(G81,G85,G89)</f>
        <v/>
      </c>
      <c r="I80" s="131" t="inlineStr">
        <is>
          <t>m</t>
        </is>
      </c>
    </row>
    <row r="81" ht="15.75" customHeight="1">
      <c r="A81" s="131" t="n"/>
      <c r="B81" s="132" t="inlineStr">
        <is>
          <t>PRIMER NIVEL</t>
        </is>
      </c>
      <c r="C81" s="133" t="n"/>
      <c r="D81" s="133" t="n"/>
      <c r="E81" s="133" t="n"/>
      <c r="F81" s="133" t="n"/>
      <c r="G81" s="133">
        <f>SUM(G82:G84)</f>
        <v/>
      </c>
      <c r="H81" s="133" t="n"/>
      <c r="I81" s="131" t="n"/>
    </row>
    <row r="82" ht="15.75" customHeight="1">
      <c r="A82" s="125" t="n"/>
      <c r="B82" s="126" t="inlineStr">
        <is>
          <t>Recorrido Horizontal (En contrapiso de piso 1)</t>
        </is>
      </c>
      <c r="C82" s="127" t="n">
        <v>1</v>
      </c>
      <c r="D82" s="127" t="n">
        <v>35.9</v>
      </c>
      <c r="E82" s="127" t="n"/>
      <c r="F82" s="127" t="n"/>
      <c r="G82" s="127">
        <f>C82*D82</f>
        <v/>
      </c>
      <c r="H82" s="127" t="n"/>
      <c r="I82" s="125" t="n"/>
    </row>
    <row r="83" ht="15.75" customHeight="1">
      <c r="A83" s="125" t="n"/>
      <c r="B83" s="126" t="inlineStr">
        <is>
          <t>Verticales: Subidas a Tomacorrientes Dobles (h = 0.30 m)</t>
        </is>
      </c>
      <c r="C83" s="127" t="n">
        <v>5</v>
      </c>
      <c r="D83" s="127" t="n">
        <v>0.3</v>
      </c>
      <c r="E83" s="127" t="n"/>
      <c r="F83" s="127" t="n"/>
      <c r="G83" s="127">
        <f>C83*D83</f>
        <v/>
      </c>
      <c r="H83" s="127" t="n"/>
      <c r="I83" s="125" t="n"/>
    </row>
    <row r="84" ht="15.75" customHeight="1">
      <c r="A84" s="125" t="n"/>
      <c r="B84" s="126" t="inlineStr">
        <is>
          <t>Verticales: Subidas a Cocina/Bomba (Especiales h = 1.10 m)</t>
        </is>
      </c>
      <c r="C84" s="127" t="n">
        <v>5</v>
      </c>
      <c r="D84" s="127" t="n">
        <v>1.1</v>
      </c>
      <c r="E84" s="127" t="n"/>
      <c r="F84" s="127" t="n"/>
      <c r="G84" s="127">
        <f>C84*D84</f>
        <v/>
      </c>
      <c r="H84" s="127" t="n"/>
      <c r="I84" s="125" t="n"/>
    </row>
    <row r="85" ht="15.75" customHeight="1">
      <c r="A85" s="131" t="n"/>
      <c r="B85" s="132" t="inlineStr">
        <is>
          <t>SEGUNDO NIVEL</t>
        </is>
      </c>
      <c r="C85" s="133" t="n"/>
      <c r="D85" s="133" t="n"/>
      <c r="E85" s="133" t="n"/>
      <c r="F85" s="133" t="n"/>
      <c r="G85" s="133">
        <f>SUM(G86:G88)</f>
        <v/>
      </c>
      <c r="H85" s="133" t="n"/>
      <c r="I85" s="131" t="n"/>
    </row>
    <row r="86" ht="15.75" customHeight="1">
      <c r="A86" s="125" t="n"/>
      <c r="B86" s="126" t="inlineStr">
        <is>
          <t>Recorrido Horizontal (En contrapiso de piso 2)</t>
        </is>
      </c>
      <c r="C86" s="127" t="n">
        <v>1</v>
      </c>
      <c r="D86" s="127" t="n">
        <v>50.4</v>
      </c>
      <c r="E86" s="127" t="n"/>
      <c r="F86" s="127" t="n"/>
      <c r="G86" s="127">
        <f>C86*D86</f>
        <v/>
      </c>
      <c r="H86" s="127" t="n"/>
      <c r="I86" s="125" t="n"/>
    </row>
    <row r="87" ht="15.75" customHeight="1">
      <c r="A87" s="125" t="n"/>
      <c r="B87" s="126" t="inlineStr">
        <is>
          <t>Verticales: Subidas a Tomacorrientes Dobles (h = 0.30 m)</t>
        </is>
      </c>
      <c r="C87" s="127" t="n">
        <v>8</v>
      </c>
      <c r="D87" s="127" t="n">
        <v>0.3</v>
      </c>
      <c r="E87" s="127" t="n"/>
      <c r="F87" s="127" t="n"/>
      <c r="G87" s="127">
        <f>C87*D87</f>
        <v/>
      </c>
      <c r="H87" s="127" t="n"/>
      <c r="I87" s="125" t="n"/>
    </row>
    <row r="88" ht="15.75" customHeight="1">
      <c r="A88" s="125" t="n"/>
      <c r="B88" s="126" t="inlineStr">
        <is>
          <t>Verticales: Subidas a Baño GFCI (h = 1.10 m)</t>
        </is>
      </c>
      <c r="C88" s="127" t="n">
        <v>1</v>
      </c>
      <c r="D88" s="127" t="n">
        <v>1.1</v>
      </c>
      <c r="E88" s="127" t="n"/>
      <c r="F88" s="127" t="n"/>
      <c r="G88" s="127">
        <f>C88*D88</f>
        <v/>
      </c>
      <c r="H88" s="127" t="n"/>
      <c r="I88" s="125" t="n"/>
    </row>
    <row r="89" ht="15.75" customHeight="1">
      <c r="A89" s="131" t="n"/>
      <c r="B89" s="132" t="inlineStr">
        <is>
          <t>TERCER NIVEL</t>
        </is>
      </c>
      <c r="C89" s="133" t="n"/>
      <c r="D89" s="133" t="n"/>
      <c r="E89" s="133" t="n"/>
      <c r="F89" s="133" t="n"/>
      <c r="G89" s="133">
        <f>SUM(G90:G92)</f>
        <v/>
      </c>
      <c r="H89" s="133" t="n"/>
      <c r="I89" s="131" t="n"/>
    </row>
    <row r="90" ht="15.75" customHeight="1">
      <c r="A90" s="125" t="n"/>
      <c r="B90" s="126" t="inlineStr">
        <is>
          <t>Recorrido Horizontal (En contrapiso de piso 3)</t>
        </is>
      </c>
      <c r="C90" s="127" t="n">
        <v>1</v>
      </c>
      <c r="D90" s="127" t="n">
        <v>50</v>
      </c>
      <c r="E90" s="127" t="n"/>
      <c r="F90" s="127" t="n"/>
      <c r="G90" s="127">
        <f>C90*D90</f>
        <v/>
      </c>
      <c r="H90" s="127" t="n"/>
      <c r="I90" s="125" t="n"/>
    </row>
    <row r="91" ht="15.75" customHeight="1">
      <c r="A91" s="125" t="n"/>
      <c r="B91" s="126" t="inlineStr">
        <is>
          <t>Verticales: Subidas a Tomacorrientes Dobles (h = 0.30 m)</t>
        </is>
      </c>
      <c r="C91" s="127" t="n">
        <v>7</v>
      </c>
      <c r="D91" s="127" t="n">
        <v>0.3</v>
      </c>
      <c r="E91" s="127" t="n"/>
      <c r="F91" s="127" t="n"/>
      <c r="G91" s="127">
        <f>C91*D91</f>
        <v/>
      </c>
      <c r="H91" s="127" t="n"/>
      <c r="I91" s="125" t="n"/>
    </row>
    <row r="92" ht="15.75" customHeight="1">
      <c r="A92" s="125" t="n"/>
      <c r="B92" s="126" t="inlineStr">
        <is>
          <t>Verticales: Subidas a Baño/Lavandería (h = 1.10 m)</t>
        </is>
      </c>
      <c r="C92" s="127" t="n">
        <v>2</v>
      </c>
      <c r="D92" s="127" t="n">
        <v>1.1</v>
      </c>
      <c r="E92" s="127" t="n"/>
      <c r="F92" s="127" t="n"/>
      <c r="G92" s="127">
        <f>C92*D92</f>
        <v/>
      </c>
      <c r="H92" s="127" t="n"/>
      <c r="I92" s="125" t="n"/>
    </row>
    <row r="93" ht="15.75" customHeight="1">
      <c r="A93" s="131" t="inlineStr">
        <is>
          <t>OE.5.2.2.3</t>
        </is>
      </c>
      <c r="B93" s="132" t="inlineStr">
        <is>
          <t>Tubería PVC Pesada (PV-P) 1" (Canalización Alimentador General)</t>
        </is>
      </c>
      <c r="C93" s="133" t="n"/>
      <c r="D93" s="133" t="n"/>
      <c r="E93" s="133" t="n"/>
      <c r="F93" s="133" t="n"/>
      <c r="G93" s="133" t="n"/>
      <c r="H93" s="133">
        <f>SUM(G94)</f>
        <v/>
      </c>
      <c r="I93" s="131" t="inlineStr">
        <is>
          <t>m</t>
        </is>
      </c>
    </row>
    <row r="94" ht="15.75" customHeight="1">
      <c r="A94" s="131" t="n"/>
      <c r="B94" s="132" t="inlineStr">
        <is>
          <t>TRAMO PRINCIPAL</t>
        </is>
      </c>
      <c r="C94" s="133" t="n"/>
      <c r="D94" s="133" t="n"/>
      <c r="E94" s="133" t="n"/>
      <c r="F94" s="133" t="n"/>
      <c r="G94" s="133">
        <f>SUM(G95:G100)</f>
        <v/>
      </c>
      <c r="H94" s="133" t="n"/>
      <c r="I94" s="131" t="n"/>
    </row>
    <row r="95" ht="15.75" customHeight="1">
      <c r="A95" s="125" t="n"/>
      <c r="B95" s="126" t="inlineStr">
        <is>
          <t>Acometida a Tablero General TG-01 (Horizontal)</t>
        </is>
      </c>
      <c r="C95" s="127" t="n">
        <v>1</v>
      </c>
      <c r="D95" s="127" t="n">
        <v>6.6</v>
      </c>
      <c r="E95" s="127" t="n"/>
      <c r="F95" s="127" t="n"/>
      <c r="G95" s="127">
        <f>C95*D95</f>
        <v/>
      </c>
      <c r="H95" s="127" t="n"/>
      <c r="I95" s="125" t="n"/>
    </row>
    <row r="96" ht="15.75" customHeight="1">
      <c r="A96" s="125" t="n"/>
      <c r="B96" s="126" t="inlineStr">
        <is>
          <t>Acometida a TG-01 (Vertical subida h = 1.40 m)</t>
        </is>
      </c>
      <c r="C96" s="127" t="n">
        <v>1</v>
      </c>
      <c r="D96" s="127" t="n">
        <v>1.4</v>
      </c>
      <c r="E96" s="127" t="n"/>
      <c r="F96" s="127" t="n"/>
      <c r="G96" s="127">
        <f>C96*D96</f>
        <v/>
      </c>
      <c r="H96" s="127" t="n"/>
      <c r="I96" s="125" t="n"/>
    </row>
    <row r="97" ht="15.75" customHeight="1">
      <c r="A97" s="125" t="n"/>
      <c r="B97" s="126" t="inlineStr">
        <is>
          <t>TG-01 a Tablero Distribución TD-01 (Horizontal)</t>
        </is>
      </c>
      <c r="C97" s="127" t="n">
        <v>1</v>
      </c>
      <c r="D97" s="127" t="n">
        <v>7.6</v>
      </c>
      <c r="E97" s="127" t="n"/>
      <c r="F97" s="127" t="n"/>
      <c r="G97" s="127">
        <f>C97*D97</f>
        <v/>
      </c>
      <c r="H97" s="127" t="n"/>
      <c r="I97" s="125" t="n"/>
    </row>
    <row r="98" ht="15.75" customHeight="1">
      <c r="A98" s="125" t="n"/>
      <c r="B98" s="126" t="inlineStr">
        <is>
          <t>TG-01 / TD-01 (Vertical subida h = 1.40 m)</t>
        </is>
      </c>
      <c r="C98" s="127" t="n">
        <v>1</v>
      </c>
      <c r="D98" s="127" t="n">
        <v>1.4</v>
      </c>
      <c r="E98" s="127" t="n"/>
      <c r="F98" s="127" t="n"/>
      <c r="G98" s="127">
        <f>C98*D98</f>
        <v/>
      </c>
      <c r="H98" s="127" t="n"/>
      <c r="I98" s="125" t="n"/>
    </row>
    <row r="99" ht="15.75" customHeight="1">
      <c r="A99" s="125" t="n"/>
      <c r="B99" s="126" t="inlineStr">
        <is>
          <t>TD-01 a Tablero Distribución TD-02 (Horizontal)</t>
        </is>
      </c>
      <c r="C99" s="127" t="n">
        <v>1</v>
      </c>
      <c r="D99" s="127" t="n">
        <v>6.6</v>
      </c>
      <c r="E99" s="127" t="n"/>
      <c r="F99" s="127" t="n"/>
      <c r="G99" s="127">
        <f>C99*D99</f>
        <v/>
      </c>
      <c r="H99" s="127" t="n"/>
      <c r="I99" s="125" t="n"/>
    </row>
    <row r="100" ht="15.75" customHeight="1">
      <c r="A100" s="125" t="n"/>
      <c r="B100" s="126" t="inlineStr">
        <is>
          <t>TD-01 / TD-02 (Vertical subida h = 1.40 m)</t>
        </is>
      </c>
      <c r="C100" s="127" t="n">
        <v>1</v>
      </c>
      <c r="D100" s="127" t="n">
        <v>1.4</v>
      </c>
      <c r="E100" s="127" t="n"/>
      <c r="F100" s="127" t="n"/>
      <c r="G100" s="127">
        <f>C100*D100</f>
        <v/>
      </c>
      <c r="H100" s="127" t="n"/>
      <c r="I100" s="125" t="n"/>
    </row>
    <row r="101" ht="15.75" customHeight="1">
      <c r="A101" s="131" t="inlineStr">
        <is>
          <t>OE.5.2.2.4</t>
        </is>
      </c>
      <c r="B101" s="132" t="inlineStr">
        <is>
          <t>Curvas de PVC Pesada (PV-P) 3/4" (Accesorios Tomacorrientes)</t>
        </is>
      </c>
      <c r="C101" s="133" t="n"/>
      <c r="D101" s="133" t="n"/>
      <c r="E101" s="133" t="n"/>
      <c r="F101" s="133" t="n"/>
      <c r="G101" s="133" t="n"/>
      <c r="H101" s="133">
        <f>SUM(G102,G104,G106)</f>
        <v/>
      </c>
      <c r="I101" s="131" t="inlineStr">
        <is>
          <t>pza</t>
        </is>
      </c>
    </row>
    <row r="102" ht="15.75" customHeight="1">
      <c r="A102" s="131" t="n"/>
      <c r="B102" s="132" t="inlineStr">
        <is>
          <t>PRIMER NIVEL</t>
        </is>
      </c>
      <c r="C102" s="133" t="n"/>
      <c r="D102" s="133" t="n"/>
      <c r="E102" s="133" t="n"/>
      <c r="F102" s="133" t="n"/>
      <c r="G102" s="133">
        <f>SUM(C103:C103)</f>
        <v/>
      </c>
      <c r="H102" s="133" t="n"/>
      <c r="I102" s="131" t="n"/>
    </row>
    <row r="103" ht="15.75" customHeight="1">
      <c r="A103" s="125" t="n"/>
      <c r="B103" s="126" t="inlineStr">
        <is>
          <t>Curvas en subida a cajas de tomacorrientes</t>
        </is>
      </c>
      <c r="C103" s="127" t="n">
        <v>12</v>
      </c>
      <c r="D103" s="127" t="n"/>
      <c r="E103" s="127" t="n"/>
      <c r="F103" s="127" t="n"/>
      <c r="G103" s="127">
        <f>C103</f>
        <v/>
      </c>
      <c r="H103" s="127" t="n"/>
      <c r="I103" s="125" t="n"/>
    </row>
    <row r="104" ht="15.75" customHeight="1">
      <c r="A104" s="131" t="n"/>
      <c r="B104" s="132" t="inlineStr">
        <is>
          <t>SEGUNDO NIVEL</t>
        </is>
      </c>
      <c r="C104" s="133" t="n"/>
      <c r="D104" s="133" t="n"/>
      <c r="E104" s="133" t="n"/>
      <c r="F104" s="133" t="n"/>
      <c r="G104" s="133">
        <f>SUM(C105:C105)</f>
        <v/>
      </c>
      <c r="H104" s="133" t="n"/>
      <c r="I104" s="131" t="n"/>
    </row>
    <row r="105" ht="15.75" customHeight="1">
      <c r="A105" s="125" t="n"/>
      <c r="B105" s="126" t="inlineStr">
        <is>
          <t>Curvas en subida a cajas de tomacorrientes</t>
        </is>
      </c>
      <c r="C105" s="127" t="n">
        <v>18</v>
      </c>
      <c r="D105" s="127" t="n"/>
      <c r="E105" s="127" t="n"/>
      <c r="F105" s="127" t="n"/>
      <c r="G105" s="127">
        <f>C105</f>
        <v/>
      </c>
      <c r="H105" s="127" t="n"/>
      <c r="I105" s="125" t="n"/>
    </row>
    <row r="106" ht="15.75" customHeight="1">
      <c r="A106" s="131" t="n"/>
      <c r="B106" s="132" t="inlineStr">
        <is>
          <t>TERCER NIVEL</t>
        </is>
      </c>
      <c r="C106" s="133" t="n"/>
      <c r="D106" s="133" t="n"/>
      <c r="E106" s="133" t="n"/>
      <c r="F106" s="133" t="n"/>
      <c r="G106" s="133">
        <f>SUM(C107:C107)</f>
        <v/>
      </c>
      <c r="H106" s="133" t="n"/>
      <c r="I106" s="131" t="n"/>
    </row>
    <row r="107" ht="15.75" customHeight="1">
      <c r="A107" s="125" t="n"/>
      <c r="B107" s="126" t="inlineStr">
        <is>
          <t>Curvas en subida a cajas de tomacorrientes</t>
        </is>
      </c>
      <c r="C107" s="127" t="n">
        <v>15</v>
      </c>
      <c r="D107" s="127" t="n"/>
      <c r="E107" s="127" t="n"/>
      <c r="F107" s="127" t="n"/>
      <c r="G107" s="127">
        <f>C107</f>
        <v/>
      </c>
      <c r="H107" s="127" t="n"/>
      <c r="I107" s="125" t="n"/>
    </row>
    <row r="108" ht="15.75" customHeight="1">
      <c r="A108" s="131" t="inlineStr">
        <is>
          <t>OE.5.2.2.5</t>
        </is>
      </c>
      <c r="B108" s="132" t="inlineStr">
        <is>
          <t>Curvas de PVC Liviana (PV-L) 3/4" (Accesorios Alumbrado)</t>
        </is>
      </c>
      <c r="C108" s="133" t="n"/>
      <c r="D108" s="133" t="n"/>
      <c r="E108" s="133" t="n"/>
      <c r="F108" s="133" t="n"/>
      <c r="G108" s="133" t="n"/>
      <c r="H108" s="133">
        <f>SUM(G109,G111,G113)</f>
        <v/>
      </c>
      <c r="I108" s="131" t="inlineStr">
        <is>
          <t>pza</t>
        </is>
      </c>
    </row>
    <row r="109" ht="15.75" customHeight="1">
      <c r="A109" s="131" t="n"/>
      <c r="B109" s="132" t="inlineStr">
        <is>
          <t>PRIMER NIVEL</t>
        </is>
      </c>
      <c r="C109" s="133" t="n"/>
      <c r="D109" s="133" t="n"/>
      <c r="E109" s="133" t="n"/>
      <c r="F109" s="133" t="n"/>
      <c r="G109" s="133">
        <f>SUM(C110:C110)</f>
        <v/>
      </c>
      <c r="H109" s="133" t="n"/>
      <c r="I109" s="131" t="n"/>
    </row>
    <row r="110" ht="15.75" customHeight="1">
      <c r="A110" s="125" t="n"/>
      <c r="B110" s="126" t="inlineStr">
        <is>
          <t>Curvas en bajadas a cajas de interruptores</t>
        </is>
      </c>
      <c r="C110" s="127" t="n">
        <v>4</v>
      </c>
      <c r="D110" s="127" t="n"/>
      <c r="E110" s="127" t="n"/>
      <c r="F110" s="127" t="n"/>
      <c r="G110" s="127">
        <f>C110</f>
        <v/>
      </c>
      <c r="H110" s="127" t="n"/>
      <c r="I110" s="125" t="n"/>
    </row>
    <row r="111" ht="15.75" customHeight="1">
      <c r="A111" s="131" t="n"/>
      <c r="B111" s="132" t="inlineStr">
        <is>
          <t>SEGUNDO NIVEL</t>
        </is>
      </c>
      <c r="C111" s="133" t="n"/>
      <c r="D111" s="133" t="n"/>
      <c r="E111" s="133" t="n"/>
      <c r="F111" s="133" t="n"/>
      <c r="G111" s="133">
        <f>SUM(C112:C112)</f>
        <v/>
      </c>
      <c r="H111" s="133" t="n"/>
      <c r="I111" s="131" t="n"/>
    </row>
    <row r="112" ht="15.75" customHeight="1">
      <c r="A112" s="125" t="n"/>
      <c r="B112" s="126" t="inlineStr">
        <is>
          <t>Curvas en bajadas a cajas de interruptores</t>
        </is>
      </c>
      <c r="C112" s="127" t="n">
        <v>4</v>
      </c>
      <c r="D112" s="127" t="n"/>
      <c r="E112" s="127" t="n"/>
      <c r="F112" s="127" t="n"/>
      <c r="G112" s="127">
        <f>C112</f>
        <v/>
      </c>
      <c r="H112" s="127" t="n"/>
      <c r="I112" s="125" t="n"/>
    </row>
    <row r="113" ht="15.75" customHeight="1">
      <c r="A113" s="131" t="n"/>
      <c r="B113" s="132" t="inlineStr">
        <is>
          <t>TERCER NIVEL</t>
        </is>
      </c>
      <c r="C113" s="133" t="n"/>
      <c r="D113" s="133" t="n"/>
      <c r="E113" s="133" t="n"/>
      <c r="F113" s="133" t="n"/>
      <c r="G113" s="133">
        <f>SUM(C114:C114)</f>
        <v/>
      </c>
      <c r="H113" s="133" t="n"/>
      <c r="I113" s="131" t="n"/>
    </row>
    <row r="114" ht="15.75" customHeight="1">
      <c r="A114" s="125" t="n"/>
      <c r="B114" s="126" t="inlineStr">
        <is>
          <t>Curvas en bajadas a cajas de interruptores</t>
        </is>
      </c>
      <c r="C114" s="127" t="n">
        <v>4</v>
      </c>
      <c r="D114" s="127" t="n"/>
      <c r="E114" s="127" t="n"/>
      <c r="F114" s="127" t="n"/>
      <c r="G114" s="127">
        <f>C114</f>
        <v/>
      </c>
      <c r="H114" s="127" t="n"/>
      <c r="I114" s="125" t="n"/>
    </row>
    <row r="115" ht="15.75" customHeight="1">
      <c r="A115" s="125" t="inlineStr">
        <is>
          <t>OE.5.2.2.6</t>
        </is>
      </c>
      <c r="B115" s="126" t="inlineStr">
        <is>
          <t>Curva PVC Pesada (PV-P) 1" (Accesorios Alimentadores y tableros)</t>
        </is>
      </c>
      <c r="C115" s="127" t="n">
        <v>6</v>
      </c>
      <c r="D115" s="127" t="n"/>
      <c r="E115" s="127" t="n"/>
      <c r="F115" s="127" t="n"/>
      <c r="G115" s="127">
        <f>C115</f>
        <v/>
      </c>
      <c r="H115" s="127">
        <f>G115</f>
        <v/>
      </c>
      <c r="I115" s="125" t="inlineStr">
        <is>
          <t>pza</t>
        </is>
      </c>
    </row>
    <row r="116" ht="15.75" customHeight="1">
      <c r="A116" s="125" t="inlineStr">
        <is>
          <t>OE.5.2.2.7</t>
        </is>
      </c>
      <c r="B116" s="126" t="inlineStr">
        <is>
          <t>Accesorios de canalización (Curvas, uniones, conectores, pegamento)</t>
        </is>
      </c>
      <c r="C116" s="127" t="n">
        <v>1</v>
      </c>
      <c r="D116" s="127" t="n"/>
      <c r="E116" s="127" t="n"/>
      <c r="F116" s="127" t="n"/>
      <c r="G116" s="127">
        <f>C116</f>
        <v/>
      </c>
      <c r="H116" s="127">
        <f>G116</f>
        <v/>
      </c>
      <c r="I116" s="125" t="inlineStr">
        <is>
          <t>glb</t>
        </is>
      </c>
    </row>
    <row r="117" ht="15.75" customHeight="1">
      <c r="A117" s="122" t="inlineStr">
        <is>
          <t>OE.5.2.3</t>
        </is>
      </c>
      <c r="B117" s="123" t="inlineStr">
        <is>
          <t>CONDUCTORES Y CABLES</t>
        </is>
      </c>
      <c r="C117" s="124" t="n"/>
      <c r="D117" s="124" t="n"/>
      <c r="E117" s="124" t="n"/>
      <c r="F117" s="124" t="n"/>
      <c r="G117" s="124" t="n"/>
      <c r="H117" s="124" t="n"/>
      <c r="I117" s="122" t="n"/>
    </row>
    <row r="118" ht="15.75" customHeight="1">
      <c r="A118" s="131" t="inlineStr">
        <is>
          <t>OE.5.2.3.1</t>
        </is>
      </c>
      <c r="B118" s="132" t="inlineStr">
        <is>
          <t>Conductor de cobre LSOH 1.5 mm2 (Fase+Neutro Alumbrado)</t>
        </is>
      </c>
      <c r="C118" s="133" t="n"/>
      <c r="D118" s="133" t="n"/>
      <c r="E118" s="133" t="n"/>
      <c r="F118" s="133" t="n"/>
      <c r="G118" s="133" t="n"/>
      <c r="H118" s="133">
        <f>SUM(G119,G121,G123)</f>
        <v/>
      </c>
      <c r="I118" s="131" t="inlineStr">
        <is>
          <t>m</t>
        </is>
      </c>
    </row>
    <row r="119" ht="15.75" customHeight="1">
      <c r="A119" s="131" t="n"/>
      <c r="B119" s="132" t="inlineStr">
        <is>
          <t>PRIMER NIVEL</t>
        </is>
      </c>
      <c r="C119" s="133" t="n"/>
      <c r="D119" s="133" t="n"/>
      <c r="E119" s="133" t="n"/>
      <c r="F119" s="133" t="n"/>
      <c r="G119" s="133">
        <f>SUM(G120:G120)</f>
        <v/>
      </c>
      <c r="H119" s="133" t="n"/>
      <c r="I119" s="131" t="n"/>
    </row>
    <row r="120" ht="15.75" customHeight="1">
      <c r="A120" s="125" t="n"/>
      <c r="B120" s="126" t="inlineStr">
        <is>
          <t>Circuito C1 (Alumbrado 1er Piso)</t>
        </is>
      </c>
      <c r="C120" s="127" t="n">
        <v>2</v>
      </c>
      <c r="D120" s="127" t="n">
        <v>40</v>
      </c>
      <c r="E120" s="127" t="n"/>
      <c r="F120" s="127" t="n"/>
      <c r="G120" s="127">
        <f>C120*D120</f>
        <v/>
      </c>
      <c r="H120" s="127" t="n"/>
      <c r="I120" s="125" t="n"/>
    </row>
    <row r="121" ht="15.75" customHeight="1">
      <c r="A121" s="131" t="n"/>
      <c r="B121" s="132" t="inlineStr">
        <is>
          <t>SEGUNDO NIVEL</t>
        </is>
      </c>
      <c r="C121" s="133" t="n"/>
      <c r="D121" s="133" t="n"/>
      <c r="E121" s="133" t="n"/>
      <c r="F121" s="133" t="n"/>
      <c r="G121" s="133">
        <f>SUM(G122:G122)</f>
        <v/>
      </c>
      <c r="H121" s="133" t="n"/>
      <c r="I121" s="131" t="n"/>
    </row>
    <row r="122" ht="15.75" customHeight="1">
      <c r="A122" s="125" t="n"/>
      <c r="B122" s="126" t="inlineStr">
        <is>
          <t>Circuito C4 (Alumbrado 2do Piso)</t>
        </is>
      </c>
      <c r="C122" s="127" t="n">
        <v>2</v>
      </c>
      <c r="D122" s="127" t="n">
        <v>40</v>
      </c>
      <c r="E122" s="127" t="n"/>
      <c r="F122" s="127" t="n"/>
      <c r="G122" s="127">
        <f>C122*D122</f>
        <v/>
      </c>
      <c r="H122" s="127" t="n"/>
      <c r="I122" s="125" t="n"/>
    </row>
    <row r="123" ht="15.75" customHeight="1">
      <c r="A123" s="131" t="n"/>
      <c r="B123" s="132" t="inlineStr">
        <is>
          <t>TERCER NIVEL</t>
        </is>
      </c>
      <c r="C123" s="133" t="n"/>
      <c r="D123" s="133" t="n"/>
      <c r="E123" s="133" t="n"/>
      <c r="F123" s="133" t="n"/>
      <c r="G123" s="133">
        <f>SUM(G124:G124)</f>
        <v/>
      </c>
      <c r="H123" s="133" t="n"/>
      <c r="I123" s="131" t="n"/>
    </row>
    <row r="124" ht="15.75" customHeight="1">
      <c r="A124" s="125" t="n"/>
      <c r="B124" s="126" t="inlineStr">
        <is>
          <t>Circuito C6 (Alumbrado 3er Piso)</t>
        </is>
      </c>
      <c r="C124" s="127" t="n">
        <v>2</v>
      </c>
      <c r="D124" s="127" t="n">
        <v>40</v>
      </c>
      <c r="E124" s="127" t="n"/>
      <c r="F124" s="127" t="n"/>
      <c r="G124" s="127">
        <f>C124*D124</f>
        <v/>
      </c>
      <c r="H124" s="127" t="n"/>
      <c r="I124" s="125" t="n"/>
    </row>
    <row r="125" ht="15.75" customHeight="1">
      <c r="A125" s="131" t="inlineStr">
        <is>
          <t>OE.5.2.3.2</t>
        </is>
      </c>
      <c r="B125" s="132" t="inlineStr">
        <is>
          <t>Conductor de cobre LSOH 1.5 mm2 (Protección a Tierra Alumbrado)</t>
        </is>
      </c>
      <c r="C125" s="133" t="n"/>
      <c r="D125" s="133" t="n"/>
      <c r="E125" s="133" t="n"/>
      <c r="F125" s="133" t="n"/>
      <c r="G125" s="133" t="n"/>
      <c r="H125" s="133">
        <f>SUM(G126,G128,G130)</f>
        <v/>
      </c>
      <c r="I125" s="131" t="inlineStr">
        <is>
          <t>m</t>
        </is>
      </c>
    </row>
    <row r="126" ht="15.75" customHeight="1">
      <c r="A126" s="131" t="n"/>
      <c r="B126" s="132" t="inlineStr">
        <is>
          <t>PRIMER NIVEL</t>
        </is>
      </c>
      <c r="C126" s="133" t="n"/>
      <c r="D126" s="133" t="n"/>
      <c r="E126" s="133" t="n"/>
      <c r="F126" s="133" t="n"/>
      <c r="G126" s="133">
        <f>SUM(G127:G127)</f>
        <v/>
      </c>
      <c r="H126" s="133" t="n"/>
      <c r="I126" s="131" t="n"/>
    </row>
    <row r="127" ht="15.75" customHeight="1">
      <c r="A127" s="125" t="n"/>
      <c r="B127" s="126" t="inlineStr">
        <is>
          <t>Circuito C1 (Alumbrado 1er Piso)</t>
        </is>
      </c>
      <c r="C127" s="127" t="n">
        <v>1</v>
      </c>
      <c r="D127" s="127" t="n">
        <v>35</v>
      </c>
      <c r="E127" s="127" t="n"/>
      <c r="F127" s="127" t="n"/>
      <c r="G127" s="127">
        <f>C127*D127</f>
        <v/>
      </c>
      <c r="H127" s="127" t="n"/>
      <c r="I127" s="125" t="n"/>
    </row>
    <row r="128" ht="15.75" customHeight="1">
      <c r="A128" s="131" t="n"/>
      <c r="B128" s="132" t="inlineStr">
        <is>
          <t>SEGUNDO NIVEL</t>
        </is>
      </c>
      <c r="C128" s="133" t="n"/>
      <c r="D128" s="133" t="n"/>
      <c r="E128" s="133" t="n"/>
      <c r="F128" s="133" t="n"/>
      <c r="G128" s="133">
        <f>SUM(G129:G129)</f>
        <v/>
      </c>
      <c r="H128" s="133" t="n"/>
      <c r="I128" s="131" t="n"/>
    </row>
    <row r="129" ht="15.75" customHeight="1">
      <c r="A129" s="125" t="n"/>
      <c r="B129" s="126" t="inlineStr">
        <is>
          <t>Circuito C4 (Alumbrado 2do Piso)</t>
        </is>
      </c>
      <c r="C129" s="127" t="n">
        <v>1</v>
      </c>
      <c r="D129" s="127" t="n">
        <v>35</v>
      </c>
      <c r="E129" s="127" t="n"/>
      <c r="F129" s="127" t="n"/>
      <c r="G129" s="127">
        <f>C129*D129</f>
        <v/>
      </c>
      <c r="H129" s="127" t="n"/>
      <c r="I129" s="125" t="n"/>
    </row>
    <row r="130" ht="15.75" customHeight="1">
      <c r="A130" s="131" t="n"/>
      <c r="B130" s="132" t="inlineStr">
        <is>
          <t>TERCER NIVEL</t>
        </is>
      </c>
      <c r="C130" s="133" t="n"/>
      <c r="D130" s="133" t="n"/>
      <c r="E130" s="133" t="n"/>
      <c r="F130" s="133" t="n"/>
      <c r="G130" s="133">
        <f>SUM(G131:G131)</f>
        <v/>
      </c>
      <c r="H130" s="133" t="n"/>
      <c r="I130" s="131" t="n"/>
    </row>
    <row r="131" ht="15.75" customHeight="1">
      <c r="A131" s="125" t="n"/>
      <c r="B131" s="126" t="inlineStr">
        <is>
          <t>Circuito C6 (Alumbrado 3er Piso)</t>
        </is>
      </c>
      <c r="C131" s="127" t="n">
        <v>1</v>
      </c>
      <c r="D131" s="127" t="n">
        <v>40</v>
      </c>
      <c r="E131" s="127" t="n"/>
      <c r="F131" s="127" t="n"/>
      <c r="G131" s="127">
        <f>C131*D131</f>
        <v/>
      </c>
      <c r="H131" s="127" t="n"/>
      <c r="I131" s="125" t="n"/>
    </row>
    <row r="132" ht="15.75" customHeight="1">
      <c r="A132" s="131" t="inlineStr">
        <is>
          <t>OE.5.2.3.3</t>
        </is>
      </c>
      <c r="B132" s="132" t="inlineStr">
        <is>
          <t>Conductor de cobre LSOH 2.5 mm2 (Fase+Neutro Tomacorrientes)</t>
        </is>
      </c>
      <c r="C132" s="133" t="n"/>
      <c r="D132" s="133" t="n"/>
      <c r="E132" s="133" t="n"/>
      <c r="F132" s="133" t="n"/>
      <c r="G132" s="133" t="n"/>
      <c r="H132" s="133">
        <f>SUM(G133,G135,G137)</f>
        <v/>
      </c>
      <c r="I132" s="131" t="inlineStr">
        <is>
          <t>m</t>
        </is>
      </c>
    </row>
    <row r="133" ht="15.75" customHeight="1">
      <c r="A133" s="131" t="n"/>
      <c r="B133" s="132" t="inlineStr">
        <is>
          <t>PRIMER NIVEL</t>
        </is>
      </c>
      <c r="C133" s="133" t="n"/>
      <c r="D133" s="133" t="n"/>
      <c r="E133" s="133" t="n"/>
      <c r="F133" s="133" t="n"/>
      <c r="G133" s="133">
        <f>SUM(G134:G134)</f>
        <v/>
      </c>
      <c r="H133" s="133" t="n"/>
      <c r="I133" s="131" t="n"/>
    </row>
    <row r="134" ht="15.75" customHeight="1">
      <c r="A134" s="125" t="n"/>
      <c r="B134" s="126" t="inlineStr">
        <is>
          <t>Circuito C2 (Tomacorrientes 1er Piso)</t>
        </is>
      </c>
      <c r="C134" s="127" t="n">
        <v>2</v>
      </c>
      <c r="D134" s="127" t="n">
        <v>50</v>
      </c>
      <c r="E134" s="127" t="n"/>
      <c r="F134" s="127" t="n"/>
      <c r="G134" s="127">
        <f>C134*D134</f>
        <v/>
      </c>
      <c r="H134" s="127" t="n"/>
      <c r="I134" s="125" t="n"/>
    </row>
    <row r="135" ht="15.75" customHeight="1">
      <c r="A135" s="131" t="n"/>
      <c r="B135" s="132" t="inlineStr">
        <is>
          <t>SEGUNDO NIVEL</t>
        </is>
      </c>
      <c r="C135" s="133" t="n"/>
      <c r="D135" s="133" t="n"/>
      <c r="E135" s="133" t="n"/>
      <c r="F135" s="133" t="n"/>
      <c r="G135" s="133">
        <f>SUM(G136:G136)</f>
        <v/>
      </c>
      <c r="H135" s="133" t="n"/>
      <c r="I135" s="131" t="n"/>
    </row>
    <row r="136" ht="15.75" customHeight="1">
      <c r="A136" s="125" t="n"/>
      <c r="B136" s="126" t="inlineStr">
        <is>
          <t>Circuito C5 (Tomacorrientes 2do Piso)</t>
        </is>
      </c>
      <c r="C136" s="127" t="n">
        <v>2</v>
      </c>
      <c r="D136" s="127" t="n">
        <v>55</v>
      </c>
      <c r="E136" s="127" t="n"/>
      <c r="F136" s="127" t="n"/>
      <c r="G136" s="127">
        <f>C136*D136</f>
        <v/>
      </c>
      <c r="H136" s="127" t="n"/>
      <c r="I136" s="125" t="n"/>
    </row>
    <row r="137" ht="15.75" customHeight="1">
      <c r="A137" s="131" t="n"/>
      <c r="B137" s="132" t="inlineStr">
        <is>
          <t>TERCER NIVEL</t>
        </is>
      </c>
      <c r="C137" s="133" t="n"/>
      <c r="D137" s="133" t="n"/>
      <c r="E137" s="133" t="n"/>
      <c r="F137" s="133" t="n"/>
      <c r="G137" s="133">
        <f>SUM(G138:G138)</f>
        <v/>
      </c>
      <c r="H137" s="133" t="n"/>
      <c r="I137" s="131" t="n"/>
    </row>
    <row r="138" ht="15.75" customHeight="1">
      <c r="A138" s="125" t="n"/>
      <c r="B138" s="126" t="inlineStr">
        <is>
          <t>Circuito C7 (Tomacorrientes 3er Piso)</t>
        </is>
      </c>
      <c r="C138" s="127" t="n">
        <v>2</v>
      </c>
      <c r="D138" s="127" t="n">
        <v>45</v>
      </c>
      <c r="E138" s="127" t="n"/>
      <c r="F138" s="127" t="n"/>
      <c r="G138" s="127">
        <f>C138*D138</f>
        <v/>
      </c>
      <c r="H138" s="127" t="n"/>
      <c r="I138" s="125" t="n"/>
    </row>
    <row r="139" ht="15.75" customHeight="1">
      <c r="A139" s="131" t="inlineStr">
        <is>
          <t>OE.5.2.3.4</t>
        </is>
      </c>
      <c r="B139" s="132" t="inlineStr">
        <is>
          <t>Conductor de cobre LSOH 2.5 mm2 (Protección a Tierra Tomacorrientes)</t>
        </is>
      </c>
      <c r="C139" s="133" t="n"/>
      <c r="D139" s="133" t="n"/>
      <c r="E139" s="133" t="n"/>
      <c r="F139" s="133" t="n"/>
      <c r="G139" s="133" t="n"/>
      <c r="H139" s="133">
        <f>SUM(G140,G142,G144)</f>
        <v/>
      </c>
      <c r="I139" s="131" t="inlineStr">
        <is>
          <t>m</t>
        </is>
      </c>
    </row>
    <row r="140" ht="15.75" customHeight="1">
      <c r="A140" s="131" t="n"/>
      <c r="B140" s="132" t="inlineStr">
        <is>
          <t>PRIMER NIVEL</t>
        </is>
      </c>
      <c r="C140" s="133" t="n"/>
      <c r="D140" s="133" t="n"/>
      <c r="E140" s="133" t="n"/>
      <c r="F140" s="133" t="n"/>
      <c r="G140" s="133">
        <f>SUM(G141:G141)</f>
        <v/>
      </c>
      <c r="H140" s="133" t="n"/>
      <c r="I140" s="131" t="n"/>
    </row>
    <row r="141" ht="15.75" customHeight="1">
      <c r="A141" s="125" t="n"/>
      <c r="B141" s="126" t="inlineStr">
        <is>
          <t>Circuito C2 (Tomacorrientes 1er Piso)</t>
        </is>
      </c>
      <c r="C141" s="127" t="n">
        <v>1</v>
      </c>
      <c r="D141" s="127" t="n">
        <v>50</v>
      </c>
      <c r="E141" s="127" t="n"/>
      <c r="F141" s="127" t="n"/>
      <c r="G141" s="127">
        <f>C141*D141</f>
        <v/>
      </c>
      <c r="H141" s="127" t="n"/>
      <c r="I141" s="125" t="n"/>
    </row>
    <row r="142" ht="15.75" customHeight="1">
      <c r="A142" s="131" t="n"/>
      <c r="B142" s="132" t="inlineStr">
        <is>
          <t>SEGUNDO NIVEL</t>
        </is>
      </c>
      <c r="C142" s="133" t="n"/>
      <c r="D142" s="133" t="n"/>
      <c r="E142" s="133" t="n"/>
      <c r="F142" s="133" t="n"/>
      <c r="G142" s="133">
        <f>SUM(G143:G143)</f>
        <v/>
      </c>
      <c r="H142" s="133" t="n"/>
      <c r="I142" s="131" t="n"/>
    </row>
    <row r="143" ht="15.75" customHeight="1">
      <c r="A143" s="125" t="n"/>
      <c r="B143" s="126" t="inlineStr">
        <is>
          <t>Circuito C5 (Tomacorrientes 2do Piso)</t>
        </is>
      </c>
      <c r="C143" s="127" t="n">
        <v>1</v>
      </c>
      <c r="D143" s="127" t="n">
        <v>50</v>
      </c>
      <c r="E143" s="127" t="n"/>
      <c r="F143" s="127" t="n"/>
      <c r="G143" s="127">
        <f>C143*D143</f>
        <v/>
      </c>
      <c r="H143" s="127" t="n"/>
      <c r="I143" s="125" t="n"/>
    </row>
    <row r="144" ht="15.75" customHeight="1">
      <c r="A144" s="131" t="n"/>
      <c r="B144" s="132" t="inlineStr">
        <is>
          <t>TERCER NIVEL</t>
        </is>
      </c>
      <c r="C144" s="133" t="n"/>
      <c r="D144" s="133" t="n"/>
      <c r="E144" s="133" t="n"/>
      <c r="F144" s="133" t="n"/>
      <c r="G144" s="133">
        <f>SUM(G145:G145)</f>
        <v/>
      </c>
      <c r="H144" s="133" t="n"/>
      <c r="I144" s="131" t="n"/>
    </row>
    <row r="145" ht="15.75" customHeight="1">
      <c r="A145" s="125" t="n"/>
      <c r="B145" s="126" t="inlineStr">
        <is>
          <t>Circuito C7 (Tomacorrientes 3er Piso)</t>
        </is>
      </c>
      <c r="C145" s="127" t="n">
        <v>1</v>
      </c>
      <c r="D145" s="127" t="n">
        <v>50</v>
      </c>
      <c r="E145" s="127" t="n"/>
      <c r="F145" s="127" t="n"/>
      <c r="G145" s="127">
        <f>C145*D145</f>
        <v/>
      </c>
      <c r="H145" s="127" t="n"/>
      <c r="I145" s="125" t="n"/>
    </row>
    <row r="146" ht="15.75" customHeight="1">
      <c r="A146" s="125" t="inlineStr">
        <is>
          <t>OE.5.2.3.5</t>
        </is>
      </c>
      <c r="B146" s="126" t="inlineStr">
        <is>
          <t>Conductor de cobre LSOH 2.5 mm2 (Alimentación Electrobomba)</t>
        </is>
      </c>
      <c r="C146" s="127" t="n">
        <v>35</v>
      </c>
      <c r="D146" s="127" t="n"/>
      <c r="E146" s="127" t="n"/>
      <c r="F146" s="127" t="n"/>
      <c r="G146" s="127">
        <f>C146</f>
        <v/>
      </c>
      <c r="H146" s="127">
        <f>G146</f>
        <v/>
      </c>
      <c r="I146" s="125" t="inlineStr">
        <is>
          <t>m</t>
        </is>
      </c>
    </row>
    <row r="147" ht="15.75" customHeight="1">
      <c r="A147" s="125" t="inlineStr">
        <is>
          <t>OE.5.2.3.6</t>
        </is>
      </c>
      <c r="B147" s="126" t="inlineStr">
        <is>
          <t>Conductor de cobre LSOH 10 mm2 (Alimentador General)</t>
        </is>
      </c>
      <c r="C147" s="127" t="n">
        <v>60</v>
      </c>
      <c r="D147" s="127" t="n"/>
      <c r="E147" s="127" t="n"/>
      <c r="F147" s="127" t="n"/>
      <c r="G147" s="127">
        <f>C147</f>
        <v/>
      </c>
      <c r="H147" s="127">
        <f>G147</f>
        <v/>
      </c>
      <c r="I147" s="125" t="inlineStr">
        <is>
          <t>m</t>
        </is>
      </c>
    </row>
    <row r="148" ht="15.75" customHeight="1">
      <c r="A148" s="125" t="inlineStr">
        <is>
          <t>OE.5.2.3.7</t>
        </is>
      </c>
      <c r="B148" s="126" t="inlineStr">
        <is>
          <t>Conductor de cobre temple blando 6 mm2 (Conexión Puesta a Tierra)</t>
        </is>
      </c>
      <c r="C148" s="127" t="n">
        <v>25</v>
      </c>
      <c r="D148" s="127" t="n"/>
      <c r="E148" s="127" t="n"/>
      <c r="F148" s="127" t="n"/>
      <c r="G148" s="127">
        <f>C148</f>
        <v/>
      </c>
      <c r="H148" s="127">
        <f>G148</f>
        <v/>
      </c>
      <c r="I148" s="125" t="inlineStr">
        <is>
          <t>m</t>
        </is>
      </c>
    </row>
    <row r="149" ht="15.75" customHeight="1">
      <c r="A149" s="122" t="inlineStr">
        <is>
          <t>OE.5.2.4</t>
        </is>
      </c>
      <c r="B149" s="123" t="inlineStr">
        <is>
          <t>CAJAS DE PASO Y DERIVACION</t>
        </is>
      </c>
      <c r="C149" s="124" t="n"/>
      <c r="D149" s="124" t="n"/>
      <c r="E149" s="124" t="n"/>
      <c r="F149" s="124" t="n"/>
      <c r="G149" s="124" t="n"/>
      <c r="H149" s="124" t="n"/>
      <c r="I149" s="122" t="n"/>
    </row>
    <row r="150" ht="15.75" customHeight="1">
      <c r="A150" s="125" t="inlineStr">
        <is>
          <t>OE.5.2.4.1</t>
        </is>
      </c>
      <c r="B150" s="126" t="inlineStr">
        <is>
          <t>Caja de pase rectangular 4"x2" FG (Derivaciones y cambios)</t>
        </is>
      </c>
      <c r="C150" s="127" t="n">
        <v>6</v>
      </c>
      <c r="D150" s="127" t="n"/>
      <c r="E150" s="127" t="n"/>
      <c r="F150" s="127" t="n"/>
      <c r="G150" s="127">
        <f>C150</f>
        <v/>
      </c>
      <c r="H150" s="127">
        <f>G150</f>
        <v/>
      </c>
      <c r="I150" s="125" t="inlineStr">
        <is>
          <t>pza</t>
        </is>
      </c>
    </row>
    <row r="151" ht="15.75" customHeight="1">
      <c r="A151" s="122" t="inlineStr">
        <is>
          <t>OE.5.2.6</t>
        </is>
      </c>
      <c r="B151" s="123" t="inlineStr">
        <is>
          <t>TABLEROS DE DISTRIBUCION Y DETALLES</t>
        </is>
      </c>
      <c r="C151" s="124" t="n"/>
      <c r="D151" s="124" t="n"/>
      <c r="E151" s="124" t="n"/>
      <c r="F151" s="124" t="n"/>
      <c r="G151" s="124" t="n"/>
      <c r="H151" s="124" t="n"/>
      <c r="I151" s="122" t="n"/>
    </row>
    <row r="152" ht="15.75" customHeight="1">
      <c r="A152" s="125" t="inlineStr">
        <is>
          <t>OE.5.2.6.1</t>
        </is>
      </c>
      <c r="B152" s="126" t="inlineStr">
        <is>
          <t>Tablero General TG-01 (12 polos, metálico empotrable, primer piso)</t>
        </is>
      </c>
      <c r="C152" s="127" t="n">
        <v>1</v>
      </c>
      <c r="D152" s="127" t="n"/>
      <c r="E152" s="127" t="n"/>
      <c r="F152" s="127" t="n"/>
      <c r="G152" s="127">
        <f>C152</f>
        <v/>
      </c>
      <c r="H152" s="127">
        <f>G152</f>
        <v/>
      </c>
      <c r="I152" s="125" t="inlineStr">
        <is>
          <t>u</t>
        </is>
      </c>
    </row>
    <row r="153" ht="15.75" customHeight="1">
      <c r="A153" s="125" t="inlineStr">
        <is>
          <t>OE.5.2.6.2</t>
        </is>
      </c>
      <c r="B153" s="126" t="inlineStr">
        <is>
          <t>Tablero de Distribución TD-01 (8 polos, metálico empotrable, segundo piso)</t>
        </is>
      </c>
      <c r="C153" s="127" t="n">
        <v>1</v>
      </c>
      <c r="D153" s="127" t="n"/>
      <c r="E153" s="127" t="n"/>
      <c r="F153" s="127" t="n"/>
      <c r="G153" s="127">
        <f>C153</f>
        <v/>
      </c>
      <c r="H153" s="127">
        <f>G153</f>
        <v/>
      </c>
      <c r="I153" s="125" t="inlineStr">
        <is>
          <t>u</t>
        </is>
      </c>
    </row>
    <row r="154" ht="15.75" customHeight="1">
      <c r="A154" s="125" t="inlineStr">
        <is>
          <t>OE.5.2.6.3</t>
        </is>
      </c>
      <c r="B154" s="126" t="inlineStr">
        <is>
          <t>Tablero de Distribución TD-02 (8 polos, metálico empotrable, tercer piso)</t>
        </is>
      </c>
      <c r="C154" s="127" t="n">
        <v>1</v>
      </c>
      <c r="D154" s="127" t="n"/>
      <c r="E154" s="127" t="n"/>
      <c r="F154" s="127" t="n"/>
      <c r="G154" s="127">
        <f>C154</f>
        <v/>
      </c>
      <c r="H154" s="127">
        <f>G154</f>
        <v/>
      </c>
      <c r="I154" s="125" t="inlineStr">
        <is>
          <t>u</t>
        </is>
      </c>
    </row>
    <row r="155" ht="15.75" customHeight="1">
      <c r="A155" s="122" t="inlineStr">
        <is>
          <t>OE.5.2.8</t>
        </is>
      </c>
      <c r="B155" s="123" t="inlineStr">
        <is>
          <t>DISPOSITIVOS DE MANIOBRA Y PROTECCION</t>
        </is>
      </c>
      <c r="C155" s="124" t="n"/>
      <c r="D155" s="124" t="n"/>
      <c r="E155" s="124" t="n"/>
      <c r="F155" s="124" t="n"/>
      <c r="G155" s="124" t="n"/>
      <c r="H155" s="124" t="n"/>
      <c r="I155" s="122" t="n"/>
    </row>
    <row r="156" ht="15.75" customHeight="1">
      <c r="A156" s="125" t="inlineStr">
        <is>
          <t>OE.5.2.8.1</t>
        </is>
      </c>
      <c r="B156" s="126" t="inlineStr">
        <is>
          <t>Interruptor simple unipolar (adosar/empotrar, 10A)</t>
        </is>
      </c>
      <c r="C156" s="127" t="n">
        <v>6</v>
      </c>
      <c r="D156" s="127" t="n"/>
      <c r="E156" s="127" t="n"/>
      <c r="F156" s="127" t="n"/>
      <c r="G156" s="127">
        <f>C156</f>
        <v/>
      </c>
      <c r="H156" s="127">
        <f>G156</f>
        <v/>
      </c>
      <c r="I156" s="125" t="inlineStr">
        <is>
          <t>pza</t>
        </is>
      </c>
    </row>
    <row r="157" ht="15.75" customHeight="1">
      <c r="A157" s="125" t="inlineStr">
        <is>
          <t>OE.5.2.8.2</t>
        </is>
      </c>
      <c r="B157" s="126" t="inlineStr">
        <is>
          <t>Interruptor de conmutación 3 vías (S3, escaleras)</t>
        </is>
      </c>
      <c r="C157" s="127" t="n">
        <v>4</v>
      </c>
      <c r="D157" s="127" t="n"/>
      <c r="E157" s="127" t="n"/>
      <c r="F157" s="127" t="n"/>
      <c r="G157" s="127">
        <f>C157</f>
        <v/>
      </c>
      <c r="H157" s="127">
        <f>G157</f>
        <v/>
      </c>
      <c r="I157" s="125" t="inlineStr">
        <is>
          <t>pza</t>
        </is>
      </c>
    </row>
    <row r="158" ht="15.75" customHeight="1">
      <c r="A158" s="125" t="inlineStr">
        <is>
          <t>OE.5.2.8.3</t>
        </is>
      </c>
      <c r="B158" s="126" t="inlineStr">
        <is>
          <t>Interruptor termomagnetico 2P-10A (Alumbrado)</t>
        </is>
      </c>
      <c r="C158" s="127" t="n">
        <v>3</v>
      </c>
      <c r="D158" s="127" t="n"/>
      <c r="E158" s="127" t="n"/>
      <c r="F158" s="127" t="n"/>
      <c r="G158" s="127">
        <f>C158</f>
        <v/>
      </c>
      <c r="H158" s="127">
        <f>G158</f>
        <v/>
      </c>
      <c r="I158" s="125" t="inlineStr">
        <is>
          <t>pza</t>
        </is>
      </c>
    </row>
    <row r="159" ht="15.75" customHeight="1">
      <c r="A159" s="125" t="inlineStr">
        <is>
          <t>OE.5.2.8.4</t>
        </is>
      </c>
      <c r="B159" s="126" t="inlineStr">
        <is>
          <t>Interruptor termomagnetico 2P-16A (Tomacorrientes)</t>
        </is>
      </c>
      <c r="C159" s="127" t="n">
        <v>5</v>
      </c>
      <c r="D159" s="127" t="n"/>
      <c r="E159" s="127" t="n"/>
      <c r="F159" s="127" t="n"/>
      <c r="G159" s="127">
        <f>C159</f>
        <v/>
      </c>
      <c r="H159" s="127">
        <f>G159</f>
        <v/>
      </c>
      <c r="I159" s="125" t="inlineStr">
        <is>
          <t>pza</t>
        </is>
      </c>
    </row>
    <row r="160" ht="15.75" customHeight="1">
      <c r="A160" s="125" t="inlineStr">
        <is>
          <t>OE.5.2.8.5</t>
        </is>
      </c>
      <c r="B160" s="126" t="inlineStr">
        <is>
          <t>Interruptor termomagnetico 2P-20A (Cocina / Cargas especiales)</t>
        </is>
      </c>
      <c r="C160" s="127" t="n">
        <v>1</v>
      </c>
      <c r="D160" s="127" t="n"/>
      <c r="E160" s="127" t="n"/>
      <c r="F160" s="127" t="n"/>
      <c r="G160" s="127">
        <f>C160</f>
        <v/>
      </c>
      <c r="H160" s="127">
        <f>G160</f>
        <v/>
      </c>
      <c r="I160" s="125" t="inlineStr">
        <is>
          <t>pza</t>
        </is>
      </c>
    </row>
    <row r="161" ht="15.75" customHeight="1">
      <c r="A161" s="125" t="inlineStr">
        <is>
          <t>OE.5.2.8.6</t>
        </is>
      </c>
      <c r="B161" s="126" t="inlineStr">
        <is>
          <t>Interruptor termomagnetico general 2P-40A (TG-01)</t>
        </is>
      </c>
      <c r="C161" s="127" t="n">
        <v>1</v>
      </c>
      <c r="D161" s="127" t="n"/>
      <c r="E161" s="127" t="n"/>
      <c r="F161" s="127" t="n"/>
      <c r="G161" s="127">
        <f>C161</f>
        <v/>
      </c>
      <c r="H161" s="127">
        <f>G161</f>
        <v/>
      </c>
      <c r="I161" s="125" t="inlineStr">
        <is>
          <t>pza</t>
        </is>
      </c>
    </row>
    <row r="162" ht="15.75" customHeight="1">
      <c r="A162" s="125" t="inlineStr">
        <is>
          <t>OE.5.2.8.7</t>
        </is>
      </c>
      <c r="B162" s="126" t="inlineStr">
        <is>
          <t>Interruptor diferencial 2P-25A-30mA (Protección personal)</t>
        </is>
      </c>
      <c r="C162" s="127" t="n">
        <v>1</v>
      </c>
      <c r="D162" s="127" t="n"/>
      <c r="E162" s="127" t="n"/>
      <c r="F162" s="127" t="n"/>
      <c r="G162" s="127">
        <f>C162</f>
        <v/>
      </c>
      <c r="H162" s="127">
        <f>G162</f>
        <v/>
      </c>
      <c r="I162" s="125" t="inlineStr">
        <is>
          <t>pza</t>
        </is>
      </c>
    </row>
    <row r="163" ht="15.75" customHeight="1">
      <c r="A163" s="119" t="inlineStr">
        <is>
          <t>OE.5.4</t>
        </is>
      </c>
      <c r="B163" s="120" t="inlineStr">
        <is>
          <t>INSTALACION DE PUESTA A TIERRA</t>
        </is>
      </c>
      <c r="C163" s="121" t="n"/>
      <c r="D163" s="121" t="n"/>
      <c r="E163" s="121" t="n"/>
      <c r="F163" s="121" t="n"/>
      <c r="G163" s="121" t="n"/>
      <c r="H163" s="121" t="n"/>
      <c r="I163" s="119" t="n"/>
    </row>
    <row r="164" ht="15.75" customHeight="1">
      <c r="A164" s="122" t="inlineStr">
        <is>
          <t>OE.5.4.1</t>
        </is>
      </c>
      <c r="B164" s="123" t="inlineStr">
        <is>
          <t>PUESTA A TIERRA PAT-1</t>
        </is>
      </c>
      <c r="C164" s="124" t="n"/>
      <c r="D164" s="124" t="n"/>
      <c r="E164" s="124" t="n"/>
      <c r="F164" s="124" t="n"/>
      <c r="G164" s="124" t="n"/>
      <c r="H164" s="124" t="n"/>
      <c r="I164" s="122" t="n"/>
    </row>
    <row r="165" ht="15.75" customHeight="1">
      <c r="A165" s="125" t="inlineStr">
        <is>
          <t>OE.5.4.1.1</t>
        </is>
      </c>
      <c r="B165" s="126" t="inlineStr">
        <is>
          <t>Varilla de cobre 5/8" x 2.40m, conector, caja registro, gel conductor y accesorios</t>
        </is>
      </c>
      <c r="C165" s="127" t="n">
        <v>1</v>
      </c>
      <c r="D165" s="127" t="n"/>
      <c r="E165" s="127" t="n"/>
      <c r="F165" s="127" t="n"/>
      <c r="G165" s="127">
        <f>C165</f>
        <v/>
      </c>
      <c r="H165" s="127">
        <f>G165</f>
        <v/>
      </c>
      <c r="I165" s="125" t="inlineStr">
        <is>
          <t>jgo</t>
        </is>
      </c>
    </row>
    <row r="166" ht="15.75" customHeight="1">
      <c r="A166" s="119" t="inlineStr">
        <is>
          <t>OE.5.5</t>
        </is>
      </c>
      <c r="B166" s="120" t="inlineStr">
        <is>
          <t>ARTEFACTOS DE ALUMBRADO</t>
        </is>
      </c>
      <c r="C166" s="121" t="n"/>
      <c r="D166" s="121" t="n"/>
      <c r="E166" s="121" t="n"/>
      <c r="F166" s="121" t="n"/>
      <c r="G166" s="121" t="n"/>
      <c r="H166" s="121" t="n"/>
      <c r="I166" s="119" t="n"/>
    </row>
    <row r="167" ht="15.75" customHeight="1">
      <c r="A167" s="125" t="inlineStr">
        <is>
          <t>OE.5.5.1</t>
        </is>
      </c>
      <c r="B167" s="126" t="inlineStr">
        <is>
          <t>Luminaria LED interior de adosar 12 W (Iluminación general)</t>
        </is>
      </c>
      <c r="C167" s="127" t="n">
        <v>19</v>
      </c>
      <c r="D167" s="127" t="n"/>
      <c r="E167" s="127" t="n"/>
      <c r="F167" s="127" t="n"/>
      <c r="G167" s="127">
        <f>C167</f>
        <v/>
      </c>
      <c r="H167" s="127">
        <f>G167</f>
        <v/>
      </c>
      <c r="I167" s="125" t="inlineStr">
        <is>
          <t>pza</t>
        </is>
      </c>
    </row>
    <row r="168" ht="15.75" customHeight="1">
      <c r="A168" s="119" t="inlineStr">
        <is>
          <t>OE.5.6</t>
        </is>
      </c>
      <c r="B168" s="120" t="inlineStr">
        <is>
          <t>EQUIPOS ELECTRICOS Y MECANICOS</t>
        </is>
      </c>
      <c r="C168" s="121" t="n"/>
      <c r="D168" s="121" t="n"/>
      <c r="E168" s="121" t="n"/>
      <c r="F168" s="121" t="n"/>
      <c r="G168" s="121" t="n"/>
      <c r="H168" s="121" t="n"/>
      <c r="I168" s="119" t="n"/>
    </row>
    <row r="169" ht="15.75" customHeight="1">
      <c r="A169" s="125" t="inlineStr">
        <is>
          <t>OE.5.6.1</t>
        </is>
      </c>
      <c r="B169" s="126" t="inlineStr">
        <is>
          <t>Electrobomba monofásica de agua 1 HP, 220V, 60Hz</t>
        </is>
      </c>
      <c r="C169" s="127" t="n">
        <v>1</v>
      </c>
      <c r="D169" s="127" t="n"/>
      <c r="E169" s="127" t="n"/>
      <c r="F169" s="127" t="n"/>
      <c r="G169" s="127">
        <f>C169</f>
        <v/>
      </c>
      <c r="H169" s="127">
        <f>G169</f>
        <v/>
      </c>
      <c r="I169" s="125" t="inlineStr">
        <is>
          <t>UND</t>
        </is>
      </c>
    </row>
    <row r="170" ht="15.75" customHeight="1">
      <c r="A170" s="119" t="inlineStr">
        <is>
          <t>OE.5.7</t>
        </is>
      </c>
      <c r="B170" s="120" t="inlineStr">
        <is>
          <t>PRUEBAS ELECTRICAS</t>
        </is>
      </c>
      <c r="C170" s="121" t="n"/>
      <c r="D170" s="121" t="n"/>
      <c r="E170" s="121" t="n"/>
      <c r="F170" s="121" t="n"/>
      <c r="G170" s="121" t="n"/>
      <c r="H170" s="121" t="n"/>
      <c r="I170" s="119" t="n"/>
    </row>
    <row r="171" ht="15.75" customHeight="1">
      <c r="A171" s="125" t="inlineStr">
        <is>
          <t>OE.5.7.1</t>
        </is>
      </c>
      <c r="B171" s="126" t="inlineStr">
        <is>
          <t>Pruebas de aislamiento, continuidad de línea y resistencia de puesta a tierra</t>
        </is>
      </c>
      <c r="C171" s="127" t="n">
        <v>1</v>
      </c>
      <c r="D171" s="127" t="n"/>
      <c r="E171" s="127" t="n"/>
      <c r="F171" s="127" t="n"/>
      <c r="G171" s="127">
        <f>C171</f>
        <v/>
      </c>
      <c r="H171" s="127">
        <f>G171</f>
        <v/>
      </c>
      <c r="I171" s="125" t="inlineStr">
        <is>
          <t>glb</t>
        </is>
      </c>
    </row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24" customHeight="1"/>
    <row r="248" ht="12.75" customHeight="1"/>
    <row r="249" ht="12.75" customHeight="1"/>
    <row r="250" ht="12.75" customHeight="1"/>
    <row r="251" ht="36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24" customHeight="1"/>
    <row r="265" ht="12.75" customHeight="1"/>
    <row r="266" ht="12.75" customHeight="1"/>
    <row r="267" ht="12.75" customHeight="1"/>
    <row r="268" ht="12.75" customHeight="1"/>
    <row r="269" ht="12.7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2.75" customHeight="1"/>
    <row r="286" ht="12.75" customHeight="1"/>
    <row r="287" ht="12.75" customHeight="1"/>
    <row r="288" ht="12.75" customHeight="1"/>
    <row r="289" ht="12.75" customHeight="1"/>
    <row r="290" ht="27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24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48" customHeight="1"/>
    <row r="316" ht="12.75" customHeight="1"/>
    <row r="317" ht="12.75" customHeight="1"/>
    <row r="318" ht="12.75" customHeight="1"/>
    <row r="319" ht="12.75" customHeight="1"/>
    <row r="320" ht="24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24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24" customHeight="1"/>
    <row r="360" ht="12.75" customHeight="1"/>
    <row r="361" ht="12.75" customHeight="1"/>
    <row r="362" ht="51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24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60" customHeight="1"/>
    <row r="398" ht="12.75" customHeight="1"/>
    <row r="399" ht="12.75" customHeight="1"/>
    <row r="400" ht="12.75" customHeight="1"/>
    <row r="401" ht="12.75" customHeight="1"/>
    <row r="402" ht="12.75" customHeight="1"/>
    <row r="403" ht="60" customHeight="1"/>
    <row r="404" ht="12.75" customHeight="1"/>
    <row r="405" ht="12.75" customHeight="1"/>
    <row r="406" ht="12.75" customHeight="1"/>
    <row r="407" ht="12.75" customHeight="1"/>
    <row r="408" ht="12.75" customHeight="1"/>
    <row r="409" ht="60" customHeight="1"/>
    <row r="410" ht="12.75" customHeight="1"/>
    <row r="411" ht="12.75" customHeight="1"/>
    <row r="412" ht="12.75" customHeight="1"/>
    <row r="413" ht="12.75" customHeight="1"/>
    <row r="414" ht="12.75" customHeight="1"/>
    <row r="415" ht="60" customHeight="1"/>
    <row r="416" ht="12.75" customHeight="1"/>
    <row r="417" ht="12.75" customHeight="1"/>
    <row r="418" ht="12.75" customHeight="1"/>
    <row r="419" ht="12.75" customHeight="1"/>
    <row r="420" ht="12.75" customHeight="1"/>
    <row r="421" ht="60" customHeight="1"/>
    <row r="422" ht="12.75" customHeight="1"/>
    <row r="423" ht="12.75" customHeight="1"/>
    <row r="424" ht="12.75" customHeight="1"/>
    <row r="425" ht="12.75" customHeight="1"/>
    <row r="426" ht="12.75" customHeight="1"/>
    <row r="427" ht="60" customHeight="1"/>
    <row r="428" ht="12.75" customHeight="1"/>
    <row r="429" ht="12.75" customHeight="1"/>
    <row r="430" ht="12.75" customHeight="1"/>
    <row r="431" ht="12.75" customHeight="1"/>
    <row r="432" ht="60" customHeight="1"/>
    <row r="433" ht="12.75" customHeight="1"/>
    <row r="434" ht="12.75" customHeight="1"/>
    <row r="435" ht="12.75" customHeight="1"/>
    <row r="436" ht="12.75" customHeight="1"/>
    <row r="437" ht="12.75" customHeight="1"/>
    <row r="438" ht="60" customHeight="1"/>
    <row r="439" ht="12.75" customHeight="1"/>
    <row r="440" ht="12.75" customHeight="1"/>
    <row r="441" ht="12.75" customHeight="1"/>
    <row r="442" ht="12.75" customHeight="1"/>
    <row r="443" ht="60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24" customHeight="1"/>
    <row r="455" ht="24" customHeight="1"/>
    <row r="456" ht="24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24" customHeight="1"/>
    <row r="544" ht="12.75" customHeight="1"/>
    <row r="545" ht="12.75" customHeight="1"/>
    <row r="546" ht="12.75" customHeight="1"/>
    <row r="547" ht="25.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36" customHeight="1"/>
    <row r="613" ht="12.75" customHeight="1"/>
    <row r="614" ht="12.75" customHeight="1"/>
    <row r="615" ht="12.75" customHeight="1"/>
    <row r="616" ht="12.75" customHeight="1"/>
    <row r="617" ht="24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36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24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24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24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24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24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24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24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24" customHeight="1"/>
    <row r="907" ht="12.75" customHeight="1"/>
    <row r="908" ht="12.75" customHeight="1"/>
    <row r="909" ht="24" customHeight="1"/>
    <row r="910" ht="12.75" customHeight="1"/>
    <row r="911" ht="12.75" customHeight="1"/>
    <row r="912" ht="24" customHeight="1"/>
    <row r="913" ht="12.75" customHeight="1"/>
    <row r="914" ht="24" customHeight="1"/>
    <row r="915" ht="12.75" customHeight="1"/>
    <row r="916" ht="24" customHeight="1"/>
    <row r="917" ht="12.75" customHeight="1"/>
    <row r="918" ht="24" customHeight="1"/>
    <row r="919" ht="12.75" customHeight="1"/>
    <row r="920" ht="12.75" customHeight="1"/>
    <row r="921" ht="12.75" customHeight="1"/>
    <row r="922" ht="24" customHeight="1"/>
    <row r="923" ht="12.75" customHeight="1"/>
    <row r="924" ht="12.75" customHeight="1"/>
    <row r="925" ht="12.75" customHeight="1"/>
    <row r="926" ht="24" customHeight="1"/>
    <row r="927" ht="24" customHeight="1"/>
    <row r="928" ht="24" customHeight="1"/>
    <row r="929" ht="24" customHeight="1"/>
    <row r="930" ht="12.75" customHeight="1"/>
    <row r="931" ht="12.75" customHeight="1"/>
    <row r="932" ht="60" customHeight="1"/>
    <row r="933" ht="12.75" customHeight="1"/>
    <row r="934" ht="36" customHeight="1"/>
    <row r="935" ht="12.75" customHeight="1"/>
    <row r="936" ht="36" customHeight="1"/>
    <row r="937" ht="36" customHeight="1"/>
    <row r="938" ht="36" customHeight="1"/>
    <row r="939" ht="36" customHeight="1"/>
    <row r="940" ht="36" customHeight="1"/>
    <row r="941" ht="36" customHeight="1"/>
    <row r="942" ht="36" customHeight="1"/>
    <row r="943" ht="36" customHeight="1"/>
    <row r="944" ht="36" customHeight="1"/>
    <row r="945" ht="36" customHeight="1"/>
    <row r="946" ht="36" customHeight="1"/>
    <row r="947" ht="36" customHeight="1"/>
    <row r="948" ht="36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24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3.5" customHeight="1" thickBot="1"/>
    <row r="973" ht="24.75" customHeight="1" thickBot="1"/>
    <row r="974" ht="24.75" customHeight="1" thickBot="1"/>
    <row r="975" ht="24.75" customHeight="1" thickBot="1"/>
    <row r="976" ht="13.5" customHeight="1" thickBot="1"/>
    <row r="977" ht="13.5" customHeight="1" thickBot="1"/>
    <row r="978" ht="13.5" customHeight="1" thickBot="1"/>
    <row r="979" ht="13.5" customHeight="1" thickBot="1"/>
    <row r="980" ht="12.75" customHeight="1"/>
    <row r="981" ht="12.75" customHeight="1"/>
    <row r="982" ht="12.75" customHeight="1"/>
    <row r="983" ht="27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  <row r="1007" ht="14.25" customHeight="1"/>
    <row r="1008" ht="14.25" customHeight="1"/>
    <row r="1009" ht="14.25" customHeight="1"/>
    <row r="1010" ht="14.25" customHeight="1"/>
    <row r="1011" ht="14.25" customHeight="1"/>
    <row r="1012" ht="14.25" customHeight="1"/>
    <row r="1013" ht="14.25" customHeight="1"/>
    <row r="1014" ht="14.25" customHeight="1"/>
    <row r="1015" ht="14.25" customHeight="1"/>
    <row r="1016" ht="14.25" customHeight="1"/>
    <row r="1017" ht="14.25" customHeight="1"/>
    <row r="1018" ht="14.25" customHeight="1"/>
    <row r="1019" ht="14.25" customHeight="1"/>
    <row r="1020" ht="14.25" customHeight="1"/>
    <row r="1021" ht="14.25" customHeight="1"/>
    <row r="1022" ht="14.25" customHeight="1"/>
    <row r="1023" ht="14.25" customHeight="1"/>
    <row r="1024" ht="14.25" customHeight="1"/>
    <row r="1025" ht="14.25" customHeight="1"/>
    <row r="1026" ht="14.25" customHeight="1"/>
    <row r="1027" ht="14.25" customHeight="1"/>
    <row r="1028" ht="14.25" customHeight="1"/>
    <row r="1029" ht="14.25" customHeight="1"/>
    <row r="1030" ht="14.25" customHeight="1"/>
    <row r="1031" ht="26.25" customHeight="1"/>
    <row r="1032" ht="13.5" customHeight="1"/>
    <row r="1033" ht="13.5" customHeight="1"/>
    <row r="1034" ht="13.5" customHeight="1"/>
    <row r="1035" ht="13.5" customHeight="1"/>
    <row r="1036" ht="13.5" customHeight="1"/>
    <row r="1037" ht="13.5" customHeight="1"/>
    <row r="1038" ht="13.5" customHeight="1"/>
    <row r="1039" ht="13.5" customHeight="1"/>
    <row r="1040" ht="13.5" customHeight="1"/>
    <row r="1041" ht="13.5" customHeight="1"/>
    <row r="1042" ht="13.5" customHeight="1"/>
    <row r="1043" ht="13.5" customHeight="1"/>
    <row r="1044" ht="13.5" customHeight="1"/>
    <row r="1045" ht="13.5" customHeight="1"/>
    <row r="1046" ht="36" customHeight="1"/>
    <row r="1047" ht="12.75" customHeight="1"/>
    <row r="1048" ht="12.75" customHeight="1"/>
    <row r="1049" ht="12.75" customHeight="1"/>
    <row r="1050" ht="12.75" customHeight="1"/>
    <row r="1051" ht="12.75" customHeight="1"/>
    <row r="1052" ht="12.75" customHeight="1"/>
    <row r="1053" ht="12.75" customHeight="1"/>
    <row r="1054" ht="12.75" customHeight="1"/>
    <row r="1055" ht="12.75" customHeight="1"/>
    <row r="1056" ht="12.75" customHeight="1"/>
    <row r="1057" ht="12.75" customHeight="1"/>
    <row r="1058" ht="12.75" customHeight="1"/>
    <row r="1059" ht="12.75" customHeight="1"/>
    <row r="1060" ht="12.75" customHeight="1"/>
    <row r="1061" ht="34.5" customHeight="1"/>
    <row r="1062" ht="13.5" customHeight="1"/>
    <row r="1063" ht="13.5" customHeight="1"/>
    <row r="1064" ht="13.5" customHeight="1"/>
    <row r="1065" ht="13.5" customHeight="1"/>
    <row r="1066" ht="13.5" customHeight="1"/>
    <row r="1067" ht="13.5" customHeight="1"/>
    <row r="1068" ht="13.5" customHeight="1"/>
    <row r="1069" ht="13.5" customHeight="1"/>
    <row r="1070" ht="13.5" customHeight="1"/>
    <row r="1071" ht="13.5" customHeight="1"/>
    <row r="1072" ht="13.5" customHeight="1"/>
    <row r="1073" ht="13.5" customHeight="1"/>
    <row r="1074" ht="13.5" customHeight="1"/>
    <row r="1075" ht="13.5" customHeight="1"/>
    <row r="1076" ht="13.5" customHeight="1"/>
    <row r="1077" ht="13.5" customHeight="1"/>
    <row r="1078" ht="13.5" customHeight="1"/>
    <row r="1079" ht="13.5" customHeight="1"/>
    <row r="1080" ht="13.5" customHeight="1"/>
    <row r="1081" ht="13.5" customHeight="1"/>
    <row r="1082" ht="13.5" customHeight="1"/>
    <row r="1083" ht="13.5" customHeight="1"/>
    <row r="1084" ht="13.5" customHeight="1"/>
    <row r="1085" ht="13.5" customHeight="1"/>
    <row r="1086" ht="13.5" customHeight="1"/>
    <row r="1087" ht="13.5" customHeight="1"/>
    <row r="1088" ht="13.5" customHeight="1"/>
    <row r="1089" ht="13.5" customHeight="1"/>
    <row r="1090" ht="13.5" customHeight="1"/>
    <row r="1091" ht="13.5" customHeight="1"/>
    <row r="1092" ht="13.5" customHeight="1"/>
    <row r="1093" ht="13.5" customHeight="1"/>
    <row r="1094" ht="13.5" customHeight="1"/>
    <row r="1095" ht="13.5" customHeight="1"/>
    <row r="1096" ht="13.5" customHeight="1"/>
    <row r="1097" ht="13.5" customHeight="1"/>
    <row r="1098" ht="13.5" customHeight="1"/>
    <row r="1099" ht="13.5" customHeight="1"/>
    <row r="1100" ht="13.5" customHeight="1"/>
    <row r="1101" ht="13.5" customHeight="1"/>
    <row r="1102" ht="13.5" customHeight="1"/>
    <row r="1103" ht="13.5" customHeight="1"/>
    <row r="1104" ht="13.5" customHeight="1"/>
    <row r="1105" ht="13.5" customHeight="1"/>
    <row r="1106" ht="13.5" customHeight="1"/>
    <row r="1107" ht="13.5" customHeight="1"/>
    <row r="1108" ht="13.5" customHeight="1"/>
    <row r="1109" ht="13.5" customHeight="1"/>
    <row r="1110" ht="13.5" customHeight="1"/>
    <row r="1111" ht="13.5" customHeight="1"/>
    <row r="1112" ht="13.5" customHeight="1"/>
    <row r="1113" ht="13.5" customHeight="1"/>
    <row r="1114" ht="13.5" customHeight="1"/>
    <row r="1115" ht="13.5" customHeight="1"/>
    <row r="1116" ht="13.5" customHeight="1"/>
    <row r="1117" ht="13.5" customHeight="1"/>
    <row r="1118" ht="13.5" customHeight="1"/>
    <row r="1119" ht="13.5" customHeight="1"/>
    <row r="1120" ht="13.5" customHeight="1"/>
    <row r="1121" ht="13.5" customHeight="1"/>
    <row r="1122" ht="13.5" customHeight="1"/>
    <row r="1123" ht="13.5" customHeight="1"/>
    <row r="1124" ht="13.5" customHeight="1"/>
    <row r="1125" ht="13.5" customHeight="1"/>
    <row r="1126" ht="13.5" customHeight="1"/>
    <row r="1127" ht="13.5" customHeight="1"/>
    <row r="1128" ht="24" customHeight="1"/>
    <row r="1129" ht="12.75" customHeight="1"/>
    <row r="1130" ht="12.75" customHeight="1"/>
    <row r="1131" ht="12.75" customHeight="1"/>
    <row r="1132" ht="12.75" customHeight="1"/>
    <row r="1133" ht="12.75" customHeight="1"/>
    <row r="1134" ht="12.75" customHeight="1"/>
    <row r="1135" ht="12.75" customHeight="1"/>
    <row r="1136" ht="12.75" customHeight="1"/>
    <row r="1137" ht="12.75" customHeight="1"/>
    <row r="1138" ht="12.75" customHeight="1"/>
    <row r="1139" ht="12.75" customHeight="1"/>
    <row r="1140" ht="12.75" customHeight="1"/>
    <row r="1141" ht="12.75" customHeight="1"/>
    <row r="1142" ht="12.75" customHeight="1"/>
    <row r="1143" ht="12.75" customHeight="1"/>
    <row r="1144" ht="12.75" customHeight="1"/>
    <row r="1145" ht="12.75" customHeight="1"/>
    <row r="1146" ht="12.75" customHeight="1"/>
    <row r="1147" ht="12.75" customHeight="1"/>
    <row r="1148" ht="12.75" customHeight="1"/>
    <row r="1149" ht="12.75" customHeight="1"/>
    <row r="1150" ht="12.75" customHeight="1"/>
    <row r="1151" ht="12.75" customHeight="1"/>
    <row r="1152" ht="12.75" customHeight="1"/>
    <row r="1153" ht="12.75" customHeight="1"/>
    <row r="1154" ht="12.75" customHeight="1"/>
    <row r="1155" ht="12.75" customHeight="1"/>
    <row r="1156" ht="12.75" customHeight="1"/>
    <row r="1157" ht="12.75" customHeight="1"/>
    <row r="1158" ht="12.75" customHeight="1"/>
    <row r="1159" ht="12.75" customHeight="1"/>
    <row r="1160" ht="12.75" customHeight="1"/>
    <row r="1161" ht="12.75" customHeight="1"/>
    <row r="1162" ht="12.75" customHeight="1"/>
    <row r="1163" ht="12.75" customHeight="1"/>
    <row r="1164" ht="12.75" customHeight="1"/>
    <row r="1165" ht="12.75" customHeight="1"/>
    <row r="1166" ht="12.75" customHeight="1"/>
    <row r="1167" ht="12.75" customHeight="1"/>
    <row r="1168" ht="12.75" customHeight="1"/>
    <row r="1169" ht="12.75" customHeight="1"/>
    <row r="1170" ht="12.75" customHeight="1"/>
    <row r="1171" ht="12.75" customHeight="1"/>
    <row r="1172" ht="12.75" customHeight="1"/>
    <row r="1173" ht="12.75" customHeight="1"/>
    <row r="1174" ht="12.75" customHeight="1"/>
    <row r="1175" ht="12.75" customHeight="1"/>
    <row r="1176" ht="12.75" customHeight="1"/>
    <row r="1177" ht="12.75" customHeight="1"/>
    <row r="1178" ht="12.75" customHeight="1"/>
    <row r="1179" ht="12.75" customHeight="1"/>
    <row r="1180" ht="24" customHeight="1"/>
    <row r="1181" ht="12.75" customHeight="1"/>
    <row r="1182" ht="12.75" customHeight="1"/>
    <row r="1183" ht="12.75" customHeight="1"/>
    <row r="1184" ht="12.75" customHeight="1"/>
    <row r="1185" ht="12.75" customHeight="1"/>
    <row r="1186" ht="12.75" customHeight="1"/>
    <row r="1187" ht="12.75" customHeight="1"/>
    <row r="1188" ht="24" customHeight="1"/>
    <row r="1189" ht="12.75" customHeight="1"/>
    <row r="1190" ht="12.75" customHeight="1"/>
    <row r="1191" ht="12.75" customHeight="1"/>
    <row r="1192" ht="12.75" customHeight="1"/>
    <row r="1193" ht="12.75" customHeight="1"/>
    <row r="1194" ht="24" customHeight="1"/>
    <row r="1195" ht="48" customHeight="1"/>
    <row r="1196" ht="12.75" customHeight="1"/>
    <row r="1197" ht="24" customHeight="1"/>
    <row r="1198" ht="24" customHeight="1"/>
    <row r="1199" ht="24" customHeight="1"/>
    <row r="1200" ht="12.75" customHeight="1"/>
    <row r="1201" ht="15.75" customHeight="1"/>
    <row r="1202" ht="15.75" customHeight="1"/>
    <row r="1203" ht="15.75" customHeight="1"/>
    <row r="1204" ht="15.75" customHeight="1"/>
    <row r="1205" ht="15.75" customHeight="1"/>
    <row r="1206" ht="15.75" customHeight="1"/>
    <row r="1207" ht="15.75" customHeight="1"/>
    <row r="1208" ht="15.75" customHeight="1"/>
    <row r="1209" ht="15.75" customHeight="1"/>
    <row r="1210" ht="15.75" customHeight="1"/>
    <row r="1211" ht="15.75" customHeight="1"/>
    <row r="1212" ht="15.75" customHeight="1"/>
    <row r="1213" ht="15.75" customHeight="1"/>
    <row r="1214" ht="15.75" customHeight="1"/>
    <row r="1215" ht="15.75" customHeight="1"/>
    <row r="1216" ht="15.75" customHeight="1"/>
    <row r="1217" ht="15.75" customHeight="1"/>
    <row r="1218" ht="15.75" customHeight="1"/>
    <row r="1219" ht="15.75" customHeight="1"/>
    <row r="1220" ht="15.75" customHeight="1"/>
    <row r="1221" ht="15.75" customHeight="1"/>
    <row r="1222" ht="15.75" customHeight="1"/>
    <row r="1223" ht="15.75" customHeight="1"/>
    <row r="1224" ht="15.75" customHeight="1"/>
    <row r="1225" ht="15.75" customHeight="1"/>
    <row r="1226" ht="15.75" customHeight="1"/>
    <row r="1227" ht="15.75" customHeight="1"/>
    <row r="1228" ht="15.75" customHeight="1"/>
    <row r="1229" ht="15.75" customHeight="1"/>
    <row r="1230" ht="15.75" customHeight="1"/>
    <row r="1231" ht="15.75" customHeight="1"/>
    <row r="1232" ht="15.75" customHeight="1"/>
    <row r="1233" ht="15.75" customHeight="1"/>
    <row r="1234" ht="15.75" customHeight="1"/>
    <row r="1235" ht="15.75" customHeight="1"/>
    <row r="1236" ht="15.75" customHeight="1"/>
    <row r="1237" ht="15.75" customHeight="1"/>
    <row r="1238" ht="15.75" customHeight="1"/>
    <row r="1239" ht="15.75" customHeight="1"/>
    <row r="1240" ht="15.75" customHeight="1"/>
    <row r="1241" ht="15.75" customHeight="1"/>
    <row r="1242" ht="15.75" customHeight="1"/>
    <row r="1243" ht="15.75" customHeight="1"/>
    <row r="1244" ht="15.75" customHeight="1"/>
    <row r="1245" ht="15.75" customHeight="1"/>
    <row r="1246" ht="15.75" customHeight="1"/>
    <row r="1247" ht="15.75" customHeight="1"/>
    <row r="1248" ht="15.75" customHeight="1"/>
    <row r="1249" ht="15.75" customHeight="1"/>
    <row r="1250" ht="15.75" customHeight="1"/>
    <row r="1251" ht="15.75" customHeight="1"/>
    <row r="1252" ht="15.75" customHeight="1"/>
    <row r="1253" ht="15.75" customHeight="1"/>
    <row r="1254" ht="15.75" customHeight="1"/>
    <row r="1255" ht="15.75" customHeight="1"/>
    <row r="1256" ht="15.75" customHeight="1"/>
    <row r="1257" ht="15.75" customHeight="1"/>
    <row r="1258" ht="15.75" customHeight="1"/>
    <row r="1259" ht="15.75" customHeight="1"/>
    <row r="1260" ht="15.75" customHeight="1"/>
    <row r="1261" ht="15.75" customHeight="1"/>
    <row r="1262" ht="15.75" customHeight="1"/>
    <row r="1263" ht="15.75" customHeight="1"/>
    <row r="1264" ht="15.75" customHeight="1"/>
    <row r="1265" ht="15.75" customHeight="1"/>
    <row r="1266" ht="15.75" customHeight="1"/>
    <row r="1267" ht="15.75" customHeight="1"/>
    <row r="1268" ht="15.75" customHeight="1"/>
    <row r="1269" ht="15.75" customHeight="1"/>
    <row r="1270" ht="15.75" customHeight="1"/>
    <row r="1271" ht="15.75" customHeight="1"/>
    <row r="1272" ht="15.75" customHeight="1"/>
    <row r="1273" ht="15.75" customHeight="1"/>
    <row r="1274" ht="15.75" customHeight="1"/>
    <row r="1275" ht="15.75" customHeight="1"/>
    <row r="1276" ht="15.75" customHeight="1"/>
    <row r="1277" ht="15.75" customHeight="1"/>
    <row r="1278" ht="15.75" customHeight="1"/>
    <row r="1279" ht="15.75" customHeight="1"/>
    <row r="1280" ht="15.75" customHeight="1"/>
    <row r="1281" ht="15.75" customHeight="1"/>
    <row r="1282" ht="15.75" customHeight="1"/>
    <row r="1283" ht="15.75" customHeight="1"/>
    <row r="1284" ht="15.75" customHeight="1"/>
    <row r="1285" ht="15.75" customHeight="1"/>
    <row r="1286" ht="15.75" customHeight="1"/>
    <row r="1287" ht="15.75" customHeight="1"/>
    <row r="1288" ht="15.75" customHeight="1"/>
    <row r="1289" ht="15.75" customHeight="1"/>
    <row r="1290" ht="15.75" customHeight="1"/>
    <row r="1291" ht="15.75" customHeight="1"/>
    <row r="1292" ht="15.75" customHeight="1"/>
    <row r="1293" ht="15.75" customHeight="1"/>
    <row r="1294" ht="15.75" customHeight="1"/>
    <row r="1295" ht="15.75" customHeight="1"/>
    <row r="1296" ht="15.75" customHeight="1"/>
    <row r="1297" ht="15.75" customHeight="1"/>
    <row r="1298" ht="15.75" customHeight="1"/>
    <row r="1299" ht="15.75" customHeight="1"/>
    <row r="1300" ht="15.75" customHeight="1"/>
    <row r="1301" ht="15.75" customHeight="1"/>
    <row r="1302" ht="15.75" customHeight="1"/>
    <row r="1303" ht="15.75" customHeight="1"/>
    <row r="1304" ht="15.75" customHeight="1"/>
    <row r="1305" ht="15.75" customHeight="1"/>
    <row r="1306" ht="15.75" customHeight="1"/>
    <row r="1307" ht="15.75" customHeight="1"/>
    <row r="1308" ht="15.75" customHeight="1"/>
    <row r="1309" ht="15.75" customHeight="1"/>
    <row r="1310" ht="15.75" customHeight="1"/>
    <row r="1311" ht="15.75" customHeight="1"/>
    <row r="1312" ht="15.75" customHeight="1"/>
    <row r="1313" ht="15.75" customHeight="1"/>
    <row r="1314" ht="15.75" customHeight="1"/>
    <row r="1315" ht="15.75" customHeight="1"/>
    <row r="1316" ht="15.75" customHeight="1"/>
    <row r="1317" ht="15.75" customHeight="1"/>
    <row r="1318" ht="15.75" customHeight="1"/>
    <row r="1319" ht="15.75" customHeight="1"/>
    <row r="1320" ht="15.75" customHeight="1"/>
    <row r="1321" ht="15.75" customHeight="1"/>
    <row r="1322" ht="15.75" customHeight="1"/>
    <row r="1323" ht="15.75" customHeight="1"/>
    <row r="1324" ht="15.75" customHeight="1"/>
    <row r="1325" ht="15.75" customHeight="1"/>
    <row r="1326" ht="15.75" customHeight="1"/>
    <row r="1327" ht="15.75" customHeight="1"/>
    <row r="1328" ht="15.75" customHeight="1"/>
    <row r="1329" ht="15.75" customHeight="1"/>
    <row r="1330" ht="15.75" customHeight="1"/>
    <row r="1331" ht="15.75" customHeight="1"/>
    <row r="1332" ht="15.75" customHeight="1"/>
    <row r="1333" ht="15.75" customHeight="1"/>
    <row r="1334" ht="15.75" customHeight="1"/>
    <row r="1335" ht="15.75" customHeight="1"/>
    <row r="1336" ht="15.75" customHeight="1"/>
    <row r="1337" ht="15.75" customHeight="1"/>
    <row r="1338" ht="15.75" customHeight="1"/>
    <row r="1339" ht="15.75" customHeight="1"/>
    <row r="1340" ht="15.75" customHeight="1"/>
    <row r="1341" ht="15.75" customHeight="1"/>
    <row r="1342" ht="15.75" customHeight="1"/>
    <row r="1343" ht="15.75" customHeight="1"/>
    <row r="1344" ht="15.75" customHeight="1"/>
    <row r="1345" ht="15.75" customHeight="1"/>
    <row r="1346" ht="15.75" customHeight="1"/>
    <row r="1347" ht="15.75" customHeight="1"/>
    <row r="1348" ht="15.75" customHeight="1"/>
    <row r="1349" ht="15.75" customHeight="1"/>
    <row r="1350" ht="15.75" customHeight="1"/>
    <row r="1351" ht="15.75" customHeight="1"/>
    <row r="1352" ht="15.75" customHeight="1"/>
    <row r="1353" ht="15.75" customHeight="1"/>
    <row r="1354" ht="15.75" customHeight="1"/>
    <row r="1355" ht="15.75" customHeight="1"/>
    <row r="1356" ht="15.75" customHeight="1"/>
    <row r="1357" ht="15.75" customHeight="1"/>
    <row r="1358" ht="15.75" customHeight="1"/>
    <row r="1359" ht="15.75" customHeight="1"/>
    <row r="1360" ht="15.75" customHeight="1"/>
    <row r="1361" ht="15.75" customHeight="1"/>
    <row r="1362" ht="15.75" customHeight="1"/>
    <row r="1363" ht="15.75" customHeight="1"/>
    <row r="1364" ht="15.75" customHeight="1"/>
    <row r="1365" ht="15.75" customHeight="1"/>
    <row r="1366" ht="15.75" customHeight="1"/>
    <row r="1367" ht="15.75" customHeight="1"/>
    <row r="1368" ht="15.75" customHeight="1"/>
    <row r="1369" ht="15.75" customHeight="1"/>
    <row r="1370" ht="15.75" customHeight="1"/>
    <row r="1371" ht="15.75" customHeight="1"/>
    <row r="1372" ht="15.75" customHeight="1"/>
    <row r="1373" ht="15.75" customHeight="1"/>
    <row r="1374" ht="15.75" customHeight="1"/>
    <row r="1375" ht="15.75" customHeight="1"/>
    <row r="1376" ht="15.75" customHeight="1"/>
    <row r="1377" ht="15.75" customHeight="1"/>
    <row r="1378" ht="15.75" customHeight="1"/>
    <row r="1379" ht="15.75" customHeight="1"/>
    <row r="1380" ht="15.75" customHeight="1"/>
    <row r="1381" ht="15.75" customHeight="1"/>
    <row r="1382" ht="15.75" customHeight="1"/>
    <row r="1383" ht="15.75" customHeight="1"/>
    <row r="1384" ht="15.75" customHeight="1"/>
    <row r="1385" ht="15.75" customHeight="1"/>
    <row r="1386" ht="15.75" customHeight="1"/>
    <row r="1387" ht="15.75" customHeight="1"/>
    <row r="1388" ht="15.75" customHeight="1"/>
    <row r="1389" ht="15.75" customHeight="1"/>
    <row r="1390" ht="15.75" customHeight="1"/>
    <row r="1391" ht="15.75" customHeight="1"/>
    <row r="1392" ht="15.75" customHeight="1"/>
    <row r="1393" ht="15.75" customHeight="1"/>
    <row r="1394" ht="15.75" customHeight="1"/>
    <row r="1395" ht="15.75" customHeight="1"/>
    <row r="1396" ht="15.75" customHeight="1"/>
    <row r="1397" ht="15.75" customHeight="1"/>
    <row r="1398" ht="15.75" customHeight="1"/>
    <row r="1399" ht="15.75" customHeight="1"/>
    <row r="1400" ht="15.75" customHeight="1"/>
    <row r="1401" ht="15.75" customHeight="1"/>
    <row r="1402" ht="15.75" customHeight="1"/>
    <row r="1403" ht="15.75" customHeight="1"/>
    <row r="1404" ht="15.75" customHeight="1"/>
    <row r="1405" ht="15.75" customHeight="1"/>
    <row r="1406" ht="15.75" customHeight="1"/>
    <row r="1407" ht="15.75" customHeight="1"/>
    <row r="1408" ht="15.75" customHeight="1"/>
    <row r="1409" ht="15.75" customHeight="1"/>
    <row r="1410" ht="15.75" customHeight="1"/>
    <row r="1411" ht="15.75" customHeight="1"/>
    <row r="1412" ht="15.75" customHeight="1"/>
    <row r="1413" ht="15.75" customHeight="1"/>
    <row r="1414" ht="15.75" customHeight="1"/>
    <row r="1415" ht="15.75" customHeight="1"/>
    <row r="1416" ht="15.75" customHeight="1"/>
    <row r="1417" ht="15.75" customHeight="1"/>
    <row r="1418" ht="15.75" customHeight="1"/>
    <row r="1419" ht="15.75" customHeight="1"/>
    <row r="1420" ht="15.75" customHeight="1"/>
    <row r="1421" ht="15.75" customHeight="1"/>
    <row r="1422" ht="15.75" customHeight="1"/>
    <row r="1423" ht="15.75" customHeight="1"/>
    <row r="1424" ht="15.75" customHeight="1"/>
    <row r="1425" ht="15.75" customHeight="1"/>
    <row r="1426" ht="15.75" customHeight="1"/>
    <row r="1427" ht="15.75" customHeight="1"/>
    <row r="1428" ht="15.75" customHeight="1"/>
    <row r="1429" ht="15.75" customHeight="1"/>
    <row r="1430" ht="15.75" customHeight="1"/>
    <row r="1431" ht="15.75" customHeight="1"/>
    <row r="1432" ht="15.75" customHeight="1"/>
    <row r="1433" ht="15.75" customHeight="1"/>
    <row r="1434" ht="15.75" customHeight="1"/>
    <row r="1435" ht="15.75" customHeight="1"/>
    <row r="1436" ht="15.75" customHeight="1"/>
    <row r="1437" ht="15.75" customHeight="1"/>
    <row r="1438" ht="15.75" customHeight="1"/>
    <row r="1439" ht="15.75" customHeight="1"/>
    <row r="1440" ht="15.75" customHeight="1"/>
    <row r="1441" ht="15.75" customHeight="1"/>
    <row r="1442" ht="15.75" customHeight="1"/>
    <row r="1443" ht="15.75" customHeight="1"/>
    <row r="1444" ht="15.75" customHeight="1"/>
    <row r="1445" ht="15.75" customHeight="1"/>
    <row r="1446" ht="15.75" customHeight="1"/>
    <row r="1447" ht="15.75" customHeight="1"/>
    <row r="1448" ht="15.75" customHeight="1"/>
    <row r="1449" ht="15.75" customHeight="1"/>
    <row r="1450" ht="15.75" customHeight="1"/>
    <row r="1451" ht="15.75" customHeight="1"/>
    <row r="1452" ht="15.75" customHeight="1"/>
    <row r="1453" ht="15.75" customHeight="1"/>
    <row r="1454" ht="15.75" customHeight="1"/>
    <row r="1455" ht="15.75" customHeight="1"/>
    <row r="1456" ht="15.75" customHeight="1"/>
    <row r="1457" ht="15.75" customHeight="1"/>
    <row r="1458" ht="15.75" customHeight="1"/>
    <row r="1459" ht="15.75" customHeight="1"/>
    <row r="1460" ht="15.75" customHeight="1"/>
    <row r="1461" ht="15.75" customHeight="1"/>
    <row r="1462" ht="15.75" customHeight="1"/>
    <row r="1463" ht="15.75" customHeight="1"/>
    <row r="1464" ht="15.75" customHeight="1"/>
    <row r="1465" ht="15.75" customHeight="1"/>
    <row r="1466" ht="15.75" customHeight="1"/>
    <row r="1467" ht="15.75" customHeight="1"/>
    <row r="1468" ht="15.75" customHeight="1"/>
    <row r="1469" ht="15.75" customHeight="1"/>
    <row r="1470" ht="15.75" customHeight="1"/>
    <row r="1471" ht="15.75" customHeight="1"/>
    <row r="1472" ht="15.75" customHeight="1"/>
    <row r="1473" ht="15.75" customHeight="1"/>
    <row r="1474" ht="15.75" customHeight="1"/>
    <row r="1475" ht="15.75" customHeight="1"/>
    <row r="1476" ht="15.75" customHeight="1"/>
    <row r="1477" ht="15.75" customHeight="1"/>
    <row r="1478" ht="15.75" customHeight="1"/>
    <row r="1479" ht="15.75" customHeight="1"/>
    <row r="1480" ht="15.75" customHeight="1"/>
    <row r="1481" ht="15.75" customHeight="1"/>
    <row r="1482" ht="15.75" customHeight="1"/>
    <row r="1483" ht="15.75" customHeight="1"/>
    <row r="1484" ht="15.75" customHeight="1"/>
    <row r="1485" ht="15.75" customHeight="1"/>
    <row r="1486" ht="15.75" customHeight="1"/>
    <row r="1487" ht="15.75" customHeight="1"/>
    <row r="1488" ht="15.75" customHeight="1"/>
    <row r="1489" ht="15.75" customHeight="1"/>
    <row r="1490" ht="15.75" customHeight="1"/>
    <row r="1491" ht="15.75" customHeight="1"/>
    <row r="1492" ht="15.75" customHeight="1"/>
    <row r="1493" ht="15.75" customHeight="1"/>
    <row r="1494" ht="15.75" customHeight="1"/>
    <row r="1495" ht="15.75" customHeight="1"/>
    <row r="1496" ht="15.75" customHeight="1"/>
    <row r="1497" ht="15.75" customHeight="1"/>
    <row r="1498" ht="15.75" customHeight="1"/>
    <row r="1499" ht="15.75" customHeight="1"/>
    <row r="1500" ht="15.75" customHeight="1"/>
    <row r="1501" ht="15.75" customHeight="1"/>
    <row r="1502" ht="15.75" customHeight="1"/>
    <row r="1503" ht="15.75" customHeight="1"/>
    <row r="1504" ht="15.75" customHeight="1"/>
    <row r="1505" ht="15.75" customHeight="1"/>
    <row r="1506" ht="15.75" customHeight="1"/>
    <row r="1507" ht="15.75" customHeight="1"/>
    <row r="1508" ht="15.75" customHeight="1"/>
    <row r="1509" ht="15.75" customHeight="1"/>
    <row r="1510" ht="15.75" customHeight="1"/>
    <row r="1511" ht="15.75" customHeight="1"/>
    <row r="1512" ht="15.75" customHeight="1"/>
    <row r="1513" ht="15.75" customHeight="1"/>
    <row r="1514" ht="15.75" customHeight="1"/>
    <row r="1515" ht="15.75" customHeight="1"/>
    <row r="1516" ht="15.75" customHeight="1"/>
    <row r="1517" ht="15.75" customHeight="1"/>
    <row r="1518" ht="15.75" customHeight="1"/>
    <row r="1519" ht="15.75" customHeight="1"/>
    <row r="1520" ht="15.75" customHeight="1"/>
    <row r="1521" ht="15.75" customHeight="1"/>
    <row r="1522" ht="15.75" customHeight="1"/>
    <row r="1523" ht="15.75" customHeight="1"/>
    <row r="1524" ht="15.75" customHeight="1"/>
    <row r="1525" ht="15.75" customHeight="1"/>
    <row r="1526" ht="15.75" customHeight="1"/>
    <row r="1527" ht="15.75" customHeight="1"/>
    <row r="1528" ht="15.75" customHeight="1"/>
    <row r="1529" ht="15.75" customHeight="1"/>
    <row r="1530" ht="15.75" customHeight="1"/>
    <row r="1531" ht="15.75" customHeight="1"/>
    <row r="1532" ht="15.75" customHeight="1"/>
    <row r="1533" ht="15.75" customHeight="1"/>
    <row r="1534" ht="15.75" customHeight="1"/>
    <row r="1535" ht="15.75" customHeight="1"/>
    <row r="1536" ht="15.75" customHeight="1"/>
    <row r="1537" ht="15.75" customHeight="1"/>
    <row r="1538" ht="15.75" customHeight="1"/>
    <row r="1539" ht="15.75" customHeight="1"/>
    <row r="1540" ht="15.75" customHeight="1"/>
    <row r="1541" ht="15.75" customHeight="1"/>
    <row r="1542" ht="15.75" customHeight="1"/>
    <row r="1543" ht="15.75" customHeight="1"/>
    <row r="1544" ht="15.75" customHeight="1"/>
    <row r="1545" ht="15.75" customHeight="1"/>
    <row r="1546" ht="15.75" customHeight="1"/>
    <row r="1547" ht="15.75" customHeight="1"/>
    <row r="1548" ht="15.75" customHeight="1"/>
    <row r="1549" ht="15.75" customHeight="1"/>
    <row r="1550" ht="15.75" customHeight="1"/>
    <row r="1551" ht="15.75" customHeight="1"/>
    <row r="1552" ht="15.75" customHeight="1"/>
    <row r="1553" ht="15.75" customHeight="1"/>
    <row r="1554" ht="15.75" customHeight="1"/>
    <row r="1555" ht="15.75" customHeight="1"/>
    <row r="1556" ht="15.75" customHeight="1"/>
    <row r="1557" ht="15.75" customHeight="1"/>
    <row r="1558" ht="15.75" customHeight="1"/>
    <row r="1559" ht="15.75" customHeight="1"/>
    <row r="1560" ht="15.75" customHeight="1"/>
    <row r="1561" ht="15.75" customHeight="1"/>
    <row r="1562" ht="15.75" customHeight="1"/>
    <row r="1563" ht="15.75" customHeight="1"/>
    <row r="1564" ht="15.75" customHeight="1"/>
    <row r="1565" ht="15.75" customHeight="1"/>
    <row r="1566" ht="15.75" customHeight="1"/>
    <row r="1567" ht="15.75" customHeight="1"/>
    <row r="1568" ht="15.75" customHeight="1"/>
    <row r="1569" ht="15.75" customHeight="1"/>
    <row r="1570" ht="15.75" customHeight="1"/>
    <row r="1571" ht="15.75" customHeight="1"/>
    <row r="1572" ht="15.75" customHeight="1"/>
    <row r="1573" ht="15.75" customHeight="1"/>
    <row r="1574" ht="15.75" customHeight="1"/>
    <row r="1575" ht="15.75" customHeight="1"/>
    <row r="1576" ht="15.75" customHeight="1"/>
    <row r="1577" ht="15.75" customHeight="1"/>
    <row r="1578" ht="15.75" customHeight="1"/>
    <row r="1579" ht="15.75" customHeight="1"/>
    <row r="1580" ht="15.75" customHeight="1"/>
    <row r="1581" ht="15.75" customHeight="1"/>
    <row r="1582" ht="15.75" customHeight="1"/>
    <row r="1583" ht="15.75" customHeight="1"/>
    <row r="1584" ht="15.75" customHeight="1"/>
    <row r="1585" ht="15.75" customHeight="1"/>
    <row r="1586" ht="15.75" customHeight="1"/>
    <row r="1587" ht="15.75" customHeight="1"/>
    <row r="1588" ht="15.75" customHeight="1"/>
    <row r="1589" ht="15.75" customHeight="1"/>
    <row r="1590" ht="15.75" customHeight="1"/>
    <row r="1591" ht="15.75" customHeight="1"/>
    <row r="1592" ht="15.75" customHeight="1"/>
    <row r="1593" ht="15.75" customHeight="1"/>
    <row r="1594" ht="15.75" customHeight="1"/>
    <row r="1595" ht="15.75" customHeight="1"/>
    <row r="1596" ht="15.75" customHeight="1"/>
    <row r="1597" ht="15.75" customHeight="1"/>
    <row r="1598" ht="15.75" customHeight="1"/>
    <row r="1599" ht="15.75" customHeight="1"/>
    <row r="1600" ht="15.75" customHeight="1"/>
    <row r="1601" ht="15.75" customHeight="1"/>
    <row r="1602" ht="15.75" customHeight="1"/>
    <row r="1603" ht="15.75" customHeight="1"/>
    <row r="1604" ht="15.75" customHeight="1"/>
    <row r="1605" ht="15.75" customHeight="1"/>
    <row r="1606" ht="15.75" customHeight="1"/>
    <row r="1607" ht="15.75" customHeight="1"/>
    <row r="1608" ht="15.75" customHeight="1"/>
    <row r="1609" ht="15.75" customHeight="1"/>
    <row r="1610" ht="15.75" customHeight="1"/>
    <row r="1611" ht="15.75" customHeight="1"/>
    <row r="1612" ht="15.75" customHeight="1"/>
    <row r="1613" ht="15.75" customHeight="1"/>
    <row r="1614" ht="15.75" customHeight="1"/>
    <row r="1615" ht="15.75" customHeight="1"/>
    <row r="1616" ht="15.75" customHeight="1"/>
    <row r="1617" ht="15.75" customHeight="1"/>
    <row r="1618" ht="15.75" customHeight="1"/>
    <row r="1619" ht="15.75" customHeight="1"/>
    <row r="1620" ht="15.75" customHeight="1"/>
    <row r="1621" ht="15.75" customHeight="1"/>
    <row r="1622" ht="15.75" customHeight="1"/>
    <row r="1623" ht="15.75" customHeight="1"/>
    <row r="1624" ht="15.75" customHeight="1"/>
    <row r="1625" ht="15.75" customHeight="1"/>
    <row r="1626" ht="15.75" customHeight="1"/>
    <row r="1627" ht="15.75" customHeight="1"/>
    <row r="1628" ht="15.75" customHeight="1"/>
    <row r="1629" ht="15.75" customHeight="1"/>
    <row r="1630" ht="15.75" customHeight="1"/>
    <row r="1631" ht="15.75" customHeight="1"/>
    <row r="1632" ht="15.75" customHeight="1"/>
    <row r="1633" ht="15.75" customHeight="1"/>
    <row r="1634" ht="15.75" customHeight="1"/>
    <row r="1635" ht="15.75" customHeight="1"/>
    <row r="1636" ht="15.75" customHeight="1"/>
    <row r="1637" ht="15.75" customHeight="1"/>
    <row r="1638" ht="15.75" customHeight="1"/>
    <row r="1639" ht="15.75" customHeight="1"/>
    <row r="1640" ht="15.75" customHeight="1"/>
    <row r="1641" ht="15.75" customHeight="1"/>
    <row r="1642" ht="15.75" customHeight="1"/>
    <row r="1643" ht="15.75" customHeight="1"/>
    <row r="1644" ht="15.75" customHeight="1"/>
    <row r="1645" ht="15.75" customHeight="1"/>
    <row r="1646" ht="15.75" customHeight="1"/>
    <row r="1647" ht="15.75" customHeight="1"/>
    <row r="1648" ht="15.75" customHeight="1"/>
    <row r="1649" ht="15.75" customHeight="1"/>
    <row r="1650" ht="15.75" customHeight="1"/>
    <row r="1651" ht="15.75" customHeight="1"/>
    <row r="1652" ht="15.75" customHeight="1"/>
    <row r="1653" ht="15.75" customHeight="1"/>
    <row r="1654" ht="15.75" customHeight="1"/>
    <row r="1655" ht="15.75" customHeight="1"/>
    <row r="1656" ht="15.75" customHeight="1"/>
    <row r="1657" ht="15.75" customHeight="1"/>
    <row r="1658" ht="15.75" customHeight="1"/>
    <row r="1659" ht="15.75" customHeight="1"/>
    <row r="1660" ht="15.75" customHeight="1"/>
    <row r="1661" ht="15.75" customHeight="1"/>
    <row r="1662" ht="15.75" customHeight="1"/>
    <row r="1663" ht="15.75" customHeight="1"/>
    <row r="1664" ht="15.75" customHeight="1"/>
    <row r="1665" ht="15.75" customHeight="1"/>
    <row r="1666" ht="15.75" customHeight="1"/>
    <row r="1667" ht="15.75" customHeight="1"/>
    <row r="1668" ht="15.75" customHeight="1"/>
    <row r="1669" ht="15.75" customHeight="1"/>
    <row r="1670" ht="15.75" customHeight="1"/>
    <row r="1671" ht="15.75" customHeight="1"/>
    <row r="1672" ht="15.75" customHeight="1"/>
    <row r="1673" ht="15.75" customHeight="1"/>
    <row r="1674" ht="15.75" customHeight="1"/>
    <row r="1675" ht="15.75" customHeight="1"/>
    <row r="1676" ht="15.75" customHeight="1"/>
    <row r="1677" ht="15.75" customHeight="1"/>
    <row r="1678" ht="15.75" customHeight="1"/>
    <row r="1679" ht="15.75" customHeight="1"/>
    <row r="1680" ht="15.75" customHeight="1"/>
    <row r="1681" ht="15.75" customHeight="1"/>
    <row r="1682" ht="15.75" customHeight="1"/>
    <row r="1683" ht="15.75" customHeight="1"/>
    <row r="1684" ht="15.75" customHeight="1"/>
    <row r="1685" ht="15.75" customHeight="1"/>
    <row r="1686" ht="15.75" customHeight="1"/>
    <row r="1687" ht="15.75" customHeight="1"/>
    <row r="1688" ht="15.75" customHeight="1"/>
    <row r="1689" ht="15.75" customHeight="1"/>
    <row r="1690" ht="15.75" customHeight="1"/>
    <row r="1691" ht="15.75" customHeight="1"/>
    <row r="1692" ht="15.75" customHeight="1"/>
    <row r="1693" ht="15.75" customHeight="1"/>
    <row r="1694" ht="15.75" customHeight="1"/>
    <row r="1695" ht="15.75" customHeight="1"/>
    <row r="1696" ht="15.75" customHeight="1"/>
    <row r="1697" ht="15.75" customHeight="1"/>
    <row r="1698" ht="15.75" customHeight="1"/>
    <row r="1699" ht="15.75" customHeight="1"/>
    <row r="1700" ht="15.75" customHeight="1"/>
    <row r="1701" ht="15.75" customHeight="1"/>
    <row r="1702" ht="15.75" customHeight="1"/>
    <row r="1703" ht="15.75" customHeight="1"/>
    <row r="1704" ht="15.75" customHeight="1"/>
    <row r="1705" ht="15.75" customHeight="1"/>
    <row r="1706" ht="15.75" customHeight="1"/>
    <row r="1707" ht="15.75" customHeight="1"/>
    <row r="1708" ht="15.75" customHeight="1"/>
    <row r="1709" ht="15.75" customHeight="1"/>
    <row r="1710" ht="15.75" customHeight="1"/>
    <row r="1711" ht="15.75" customHeight="1"/>
    <row r="1712" ht="15.75" customHeight="1"/>
    <row r="1713" ht="15.75" customHeight="1"/>
    <row r="1714" ht="15.75" customHeight="1"/>
    <row r="1715" ht="15.75" customHeight="1"/>
    <row r="1716" ht="15.75" customHeight="1"/>
    <row r="1717" ht="15.75" customHeight="1"/>
    <row r="1718" ht="15.75" customHeight="1"/>
    <row r="1719" ht="15.75" customHeight="1"/>
    <row r="1720" ht="15.75" customHeight="1"/>
    <row r="1721" ht="15.75" customHeight="1"/>
    <row r="1722" ht="15.75" customHeight="1"/>
    <row r="1723" ht="15.75" customHeight="1"/>
    <row r="1724" ht="15.75" customHeight="1"/>
    <row r="1725" ht="15.75" customHeight="1"/>
    <row r="1726" ht="15.75" customHeight="1"/>
    <row r="1727" ht="15.75" customHeight="1"/>
    <row r="1728" ht="15.75" customHeight="1"/>
    <row r="1729" ht="15.75" customHeight="1"/>
    <row r="1730" ht="15.75" customHeight="1"/>
    <row r="1731" ht="15.75" customHeight="1"/>
    <row r="1732" ht="15.75" customHeight="1"/>
    <row r="1733" ht="15.75" customHeight="1"/>
    <row r="1734" ht="15.75" customHeight="1"/>
    <row r="1735" ht="15.75" customHeight="1"/>
    <row r="1736" ht="15.75" customHeight="1"/>
    <row r="1737" ht="15.75" customHeight="1"/>
    <row r="1738" ht="15.75" customHeight="1"/>
    <row r="1739" ht="15.75" customHeight="1"/>
    <row r="1740" ht="15.75" customHeight="1"/>
    <row r="1741" ht="15.75" customHeight="1"/>
    <row r="1742" ht="15.75" customHeight="1"/>
    <row r="1743" ht="15.75" customHeight="1"/>
    <row r="1744" ht="15.75" customHeight="1"/>
    <row r="1745" ht="15.75" customHeight="1"/>
    <row r="1746" ht="15.75" customHeight="1"/>
    <row r="1747" ht="15.75" customHeight="1"/>
    <row r="1748" ht="15.75" customHeight="1"/>
    <row r="1749" ht="15.75" customHeight="1"/>
    <row r="1750" ht="15.75" customHeight="1"/>
    <row r="1751" ht="15.75" customHeight="1"/>
    <row r="1752" ht="15.75" customHeight="1"/>
    <row r="1753" ht="15.75" customHeight="1"/>
    <row r="1754" ht="15.75" customHeight="1"/>
    <row r="1755" ht="15.75" customHeight="1"/>
    <row r="1756" ht="15.75" customHeight="1"/>
    <row r="1757" ht="15.75" customHeight="1"/>
    <row r="1758" ht="15.75" customHeight="1"/>
    <row r="1759" ht="15.75" customHeight="1"/>
    <row r="1760" ht="15.75" customHeight="1"/>
    <row r="1761" ht="15.75" customHeight="1"/>
    <row r="1762" ht="15.75" customHeight="1"/>
    <row r="1763" ht="15.75" customHeight="1"/>
    <row r="1764" ht="15.75" customHeight="1"/>
    <row r="1765" ht="15.75" customHeight="1"/>
    <row r="1766" ht="15.75" customHeight="1"/>
    <row r="1767" ht="15.75" customHeight="1"/>
    <row r="1768" ht="15.75" customHeight="1"/>
    <row r="1769" ht="15.75" customHeight="1"/>
    <row r="1770" ht="15.75" customHeight="1"/>
    <row r="1771" ht="15.75" customHeight="1"/>
    <row r="1772" ht="15.75" customHeight="1"/>
    <row r="1773" ht="15.75" customHeight="1"/>
    <row r="1774" ht="15.75" customHeight="1"/>
    <row r="1775" ht="15.75" customHeight="1"/>
    <row r="1776" ht="15.75" customHeight="1"/>
    <row r="1777" ht="15.75" customHeight="1"/>
    <row r="1778" ht="15.75" customHeight="1"/>
    <row r="1779" ht="15.75" customHeight="1"/>
    <row r="1780" ht="15.75" customHeight="1"/>
    <row r="1781" ht="15.75" customHeight="1"/>
    <row r="1782" ht="15.75" customHeight="1"/>
    <row r="1783" ht="15.75" customHeight="1"/>
    <row r="1784" ht="15.75" customHeight="1"/>
    <row r="1785" ht="15.75" customHeight="1"/>
    <row r="1786" ht="15.75" customHeight="1"/>
    <row r="1787" ht="15.75" customHeight="1"/>
    <row r="1788" ht="15.75" customHeight="1"/>
    <row r="1789" ht="15.75" customHeight="1"/>
    <row r="1790" ht="15.75" customHeight="1"/>
    <row r="1791" ht="15.75" customHeight="1"/>
    <row r="1792" ht="15.75" customHeight="1"/>
    <row r="1793" ht="15.75" customHeight="1"/>
    <row r="1794" ht="15.75" customHeight="1"/>
    <row r="1795" ht="15.75" customHeight="1"/>
    <row r="1796" ht="15.75" customHeight="1"/>
    <row r="1797" ht="15.75" customHeight="1"/>
    <row r="1798" ht="15.75" customHeight="1"/>
    <row r="1799" ht="15.75" customHeight="1"/>
    <row r="1800" ht="15.75" customHeight="1"/>
    <row r="1801" ht="15.75" customHeight="1"/>
    <row r="1802" ht="15.75" customHeight="1"/>
    <row r="1803" ht="15.75" customHeight="1"/>
    <row r="1804" ht="15.75" customHeight="1"/>
    <row r="1805" ht="15.75" customHeight="1"/>
    <row r="1806" ht="15.75" customHeight="1"/>
    <row r="1807" ht="15.75" customHeight="1"/>
    <row r="1808" ht="15.75" customHeight="1"/>
    <row r="1809" ht="15.75" customHeight="1"/>
    <row r="1810" ht="15.75" customHeight="1"/>
    <row r="1811" ht="15.75" customHeight="1"/>
    <row r="1812" ht="15.75" customHeight="1"/>
    <row r="1813" ht="15.75" customHeight="1"/>
    <row r="1814" ht="15.75" customHeight="1"/>
    <row r="1815" ht="15.75" customHeight="1"/>
    <row r="1816" ht="15.75" customHeight="1"/>
    <row r="1817" ht="15.75" customHeight="1"/>
    <row r="1818" ht="15.75" customHeight="1"/>
    <row r="1819" ht="15.75" customHeight="1"/>
    <row r="1820" ht="15.75" customHeight="1"/>
    <row r="1821" ht="15.75" customHeight="1"/>
    <row r="1822" ht="15.75" customHeight="1"/>
    <row r="1823" ht="15.75" customHeight="1"/>
    <row r="1824" ht="15.75" customHeight="1"/>
    <row r="1825" ht="15.75" customHeight="1"/>
    <row r="1826" ht="15.75" customHeight="1"/>
    <row r="1827" ht="15.75" customHeight="1"/>
    <row r="1828" ht="15.75" customHeight="1"/>
    <row r="1829" ht="15.75" customHeight="1"/>
    <row r="1830" ht="15.75" customHeight="1"/>
    <row r="1831" ht="15.75" customHeight="1"/>
    <row r="1832" ht="15.75" customHeight="1"/>
    <row r="1833" ht="15.75" customHeight="1"/>
    <row r="1834" ht="15.75" customHeight="1"/>
    <row r="1835" ht="15.75" customHeight="1"/>
    <row r="1836" ht="15.75" customHeight="1"/>
    <row r="1837" ht="15.75" customHeight="1"/>
    <row r="1838" ht="15.75" customHeight="1"/>
    <row r="1839" ht="15.75" customHeight="1"/>
    <row r="1840" ht="15.75" customHeight="1"/>
    <row r="1841" ht="15.75" customHeight="1"/>
    <row r="1842" ht="15.75" customHeight="1"/>
    <row r="1843" ht="15.75" customHeight="1"/>
    <row r="1844" ht="15.75" customHeight="1"/>
    <row r="1845" ht="15.75" customHeight="1"/>
    <row r="1846" ht="15.75" customHeight="1"/>
    <row r="1847" ht="15.75" customHeight="1"/>
    <row r="1848" ht="15.75" customHeight="1"/>
    <row r="1849" ht="15.75" customHeight="1"/>
    <row r="1850" ht="15.75" customHeight="1"/>
    <row r="1851" ht="15.75" customHeight="1"/>
    <row r="1852" ht="15.75" customHeight="1"/>
    <row r="1853" ht="15.75" customHeight="1"/>
    <row r="1854" ht="15.75" customHeight="1"/>
    <row r="1855" ht="15.75" customHeight="1"/>
    <row r="1856" ht="15.75" customHeight="1"/>
    <row r="1857" ht="15.75" customHeight="1"/>
    <row r="1858" ht="15.75" customHeight="1"/>
    <row r="1859" ht="15.75" customHeight="1"/>
    <row r="1860" ht="15.75" customHeight="1"/>
    <row r="1861" ht="15.75" customHeight="1"/>
    <row r="1862" ht="15.75" customHeight="1"/>
    <row r="1863" ht="15.75" customHeight="1"/>
    <row r="1864" ht="15.75" customHeight="1"/>
    <row r="1865" ht="15.75" customHeight="1"/>
    <row r="1866" ht="15.75" customHeight="1"/>
    <row r="1867" ht="15.75" customHeight="1"/>
    <row r="1868" ht="15.75" customHeight="1"/>
    <row r="1869" ht="15.75" customHeight="1"/>
    <row r="1870" ht="15.75" customHeight="1"/>
    <row r="1871" ht="15.75" customHeight="1"/>
    <row r="1872" ht="15.75" customHeight="1"/>
    <row r="1873" ht="15.75" customHeight="1"/>
    <row r="1874" ht="15.75" customHeight="1"/>
    <row r="1875" ht="15.75" customHeight="1"/>
    <row r="1876" ht="15.75" customHeight="1"/>
    <row r="1877" ht="15.75" customHeight="1"/>
    <row r="1878" ht="15.75" customHeight="1"/>
    <row r="1879" ht="15.75" customHeight="1"/>
    <row r="1880" ht="15.75" customHeight="1"/>
    <row r="1881" ht="15.75" customHeight="1"/>
    <row r="1882" ht="15.75" customHeight="1"/>
    <row r="1883" ht="15.75" customHeight="1"/>
    <row r="1884" ht="15.75" customHeight="1"/>
    <row r="1885" ht="15.75" customHeight="1"/>
    <row r="1886" ht="15.75" customHeight="1"/>
    <row r="1887" ht="15.75" customHeight="1"/>
    <row r="1888" ht="15.75" customHeight="1"/>
    <row r="1889" ht="15.75" customHeight="1"/>
    <row r="1890" ht="15.75" customHeight="1"/>
    <row r="1891" ht="15.75" customHeight="1"/>
    <row r="1892" ht="15.75" customHeight="1"/>
    <row r="1893" ht="15.75" customHeight="1"/>
    <row r="1894" ht="15.75" customHeight="1"/>
    <row r="1895" ht="15.75" customHeight="1"/>
    <row r="1896" ht="15.75" customHeight="1"/>
    <row r="1897" ht="15.75" customHeight="1"/>
    <row r="1898" ht="15.75" customHeight="1"/>
    <row r="1899" ht="15.75" customHeight="1"/>
    <row r="1900" ht="15.75" customHeight="1"/>
    <row r="1901" ht="15.75" customHeight="1"/>
    <row r="1902" ht="15.75" customHeight="1"/>
    <row r="1903" ht="15.75" customHeight="1"/>
    <row r="1904" ht="15.75" customHeight="1"/>
    <row r="1905" ht="15.75" customHeight="1"/>
    <row r="1906" ht="15.75" customHeight="1"/>
    <row r="1907" ht="15.75" customHeight="1"/>
    <row r="1908" ht="15.75" customHeight="1"/>
    <row r="1909" ht="15.75" customHeight="1"/>
    <row r="1910" ht="15.75" customHeight="1"/>
    <row r="1911" ht="15.75" customHeight="1"/>
    <row r="1912" ht="15.75" customHeight="1"/>
    <row r="1913" ht="15.75" customHeight="1"/>
    <row r="1914" ht="15.75" customHeight="1"/>
    <row r="1915" ht="15.75" customHeight="1"/>
    <row r="1916" ht="15.75" customHeight="1"/>
    <row r="1917" ht="15.75" customHeight="1"/>
    <row r="1918" ht="15.75" customHeight="1"/>
    <row r="1919" ht="15.75" customHeight="1"/>
    <row r="1920" ht="15.75" customHeight="1"/>
    <row r="1921" ht="15.75" customHeight="1"/>
    <row r="1922" ht="15.75" customHeight="1"/>
    <row r="1923" ht="15.75" customHeight="1"/>
    <row r="1924" ht="15.75" customHeight="1"/>
    <row r="1925" ht="15.75" customHeight="1"/>
    <row r="1926" ht="15.75" customHeight="1"/>
    <row r="1927" ht="15.75" customHeight="1"/>
    <row r="1928" ht="15.75" customHeight="1"/>
    <row r="1929" ht="15.75" customHeight="1"/>
    <row r="1930" ht="15.75" customHeight="1"/>
    <row r="1931" ht="15.75" customHeight="1"/>
    <row r="1932" ht="15.75" customHeight="1"/>
    <row r="1933" ht="15.75" customHeight="1"/>
    <row r="1934" ht="15.75" customHeight="1"/>
    <row r="1935" ht="15.75" customHeight="1"/>
    <row r="1936" ht="15.75" customHeight="1"/>
    <row r="1937" ht="15.75" customHeight="1"/>
    <row r="1938" ht="15.75" customHeight="1"/>
    <row r="1939" ht="15.75" customHeight="1"/>
    <row r="1940" ht="15.75" customHeight="1"/>
    <row r="1941" ht="15.75" customHeight="1"/>
    <row r="1942" ht="15.75" customHeight="1"/>
    <row r="1943" ht="15.75" customHeight="1"/>
    <row r="1944" ht="15.75" customHeight="1"/>
    <row r="1945" ht="15.75" customHeight="1"/>
    <row r="1946" ht="15.75" customHeight="1"/>
    <row r="1947" ht="15.75" customHeight="1"/>
    <row r="1948" ht="15.75" customHeight="1"/>
    <row r="1949" ht="15.75" customHeight="1"/>
    <row r="1950" ht="15.75" customHeight="1"/>
    <row r="1951" ht="15.75" customHeight="1"/>
    <row r="1952" ht="15.75" customHeight="1"/>
    <row r="1953" ht="15.75" customHeight="1"/>
    <row r="1954" ht="15.75" customHeight="1"/>
    <row r="1955" ht="15.75" customHeight="1"/>
    <row r="1956" ht="15.75" customHeight="1"/>
    <row r="1957" ht="15.75" customHeight="1"/>
    <row r="1958" ht="15.75" customHeight="1"/>
    <row r="1959" ht="15.75" customHeight="1"/>
    <row r="1960" ht="15.75" customHeight="1"/>
    <row r="1961" ht="15.75" customHeight="1"/>
    <row r="1962" ht="15.75" customHeight="1"/>
    <row r="1963" ht="15.75" customHeight="1"/>
    <row r="1964" ht="15.75" customHeight="1"/>
    <row r="1965" ht="15.75" customHeight="1"/>
    <row r="1966" ht="15.75" customHeight="1"/>
    <row r="1967" ht="15.75" customHeight="1"/>
    <row r="1968" ht="15.75" customHeight="1"/>
    <row r="1969" ht="15.75" customHeight="1"/>
    <row r="1970" ht="15.75" customHeight="1"/>
    <row r="1971" ht="15.75" customHeight="1"/>
    <row r="1972" ht="15.75" customHeight="1"/>
    <row r="1973" ht="15.75" customHeight="1"/>
    <row r="1974" ht="15.75" customHeight="1"/>
    <row r="1975" ht="15.75" customHeight="1"/>
    <row r="1976" ht="15.75" customHeight="1"/>
    <row r="1977" ht="15.75" customHeight="1"/>
    <row r="1978" ht="15.75" customHeight="1"/>
    <row r="1979" ht="15.75" customHeight="1"/>
    <row r="1980" ht="15.75" customHeight="1"/>
    <row r="1981" ht="15.75" customHeight="1"/>
    <row r="1982" ht="15.75" customHeight="1"/>
    <row r="1983" ht="36" customHeight="1"/>
    <row r="1984" ht="15.75" customHeight="1"/>
    <row r="1985" ht="15.75" customHeight="1"/>
    <row r="1986" ht="15.75" customHeight="1"/>
    <row r="1987" ht="15.75" customHeight="1"/>
    <row r="1988" ht="15.75" customHeight="1"/>
    <row r="1989" ht="15.75" customHeight="1"/>
    <row r="1990" ht="15.75" customHeight="1"/>
    <row r="1991" ht="15.75" customHeight="1"/>
    <row r="1992" ht="15.75" customHeight="1"/>
    <row r="1993" ht="15.75" customHeight="1"/>
    <row r="1994" ht="15.75" customHeight="1"/>
    <row r="1995" ht="15.75" customHeight="1"/>
    <row r="1996" ht="15.75" customHeight="1"/>
    <row r="1997" ht="15.75" customHeight="1"/>
    <row r="1998" ht="15.75" customHeight="1"/>
    <row r="1999" ht="15.75" customHeight="1"/>
    <row r="2000" ht="15.75" customHeight="1"/>
    <row r="2001" ht="15.75" customHeight="1"/>
    <row r="2002" ht="15.75" customHeight="1"/>
    <row r="2003" ht="15.75" customHeight="1"/>
    <row r="2004" ht="15.75" customHeight="1"/>
    <row r="2005" ht="15.75" customHeight="1"/>
    <row r="2006" ht="15.75" customHeight="1"/>
    <row r="2007" ht="15.75" customHeight="1"/>
    <row r="2008" ht="15.75" customHeight="1"/>
    <row r="2009" ht="15.75" customHeight="1"/>
    <row r="2010" ht="15.75" customHeight="1"/>
    <row r="2011" ht="15.75" customHeight="1"/>
    <row r="2012" ht="15.75" customHeight="1"/>
    <row r="2013" ht="15.75" customHeight="1"/>
    <row r="2014" ht="15.75" customHeight="1"/>
    <row r="2015" ht="15.75" customHeight="1"/>
    <row r="2016" ht="15.75" customHeight="1"/>
    <row r="2017" ht="15.75" customHeight="1"/>
    <row r="2018" ht="15.75" customHeight="1"/>
    <row r="2019" ht="15.75" customHeight="1"/>
    <row r="2020" ht="15.75" customHeight="1"/>
    <row r="2021" ht="15.75" customHeight="1"/>
    <row r="2022" ht="15.75" customHeight="1"/>
    <row r="2023" ht="15.75" customHeight="1"/>
    <row r="2024" ht="15.75" customHeight="1"/>
    <row r="2025" ht="15.75" customHeight="1"/>
    <row r="2026" ht="15.75" customHeight="1"/>
    <row r="2027" ht="15.75" customHeight="1"/>
    <row r="2028" ht="15.75" customHeight="1"/>
    <row r="2029" ht="15.75" customHeight="1"/>
    <row r="2030" ht="15.75" customHeight="1"/>
    <row r="2031" ht="15.75" customHeight="1"/>
    <row r="2032" ht="15.75" customHeight="1"/>
    <row r="2033" ht="15.75" customHeight="1"/>
    <row r="2034" ht="15.75" customHeight="1"/>
    <row r="2035" ht="15.75" customHeight="1"/>
    <row r="2036" ht="15.75" customHeight="1"/>
    <row r="2037" ht="15.75" customHeight="1"/>
    <row r="2038" ht="15.75" customHeight="1"/>
    <row r="2039" ht="15.75" customHeight="1"/>
    <row r="2040" ht="15.75" customHeight="1"/>
    <row r="2041" ht="15.75" customHeight="1"/>
    <row r="2042" ht="15.75" customHeight="1"/>
    <row r="2043" ht="15.75" customHeight="1"/>
    <row r="2044" ht="15.75" customHeight="1"/>
    <row r="2045" ht="15.75" customHeight="1"/>
    <row r="2046" ht="15.75" customHeight="1"/>
    <row r="2047" ht="15.75" customHeight="1"/>
    <row r="2048" ht="15.75" customHeight="1"/>
    <row r="2049" ht="15.75" customHeight="1"/>
    <row r="2050" ht="15.75" customHeight="1"/>
    <row r="2051" ht="15.75" customHeight="1"/>
    <row r="2052" ht="15.75" customHeight="1"/>
    <row r="2053" ht="15.75" customHeight="1"/>
    <row r="2054" ht="15.75" customHeight="1"/>
    <row r="2055" ht="15.75" customHeight="1"/>
    <row r="2056" ht="15.75" customHeight="1"/>
    <row r="2057" ht="15.75" customHeight="1"/>
    <row r="2058" ht="15.75" customHeight="1"/>
  </sheetData>
  <mergeCells count="10">
    <mergeCell ref="C9:C10"/>
    <mergeCell ref="B9:B10"/>
    <mergeCell ref="G9:G10"/>
    <mergeCell ref="H9:H10"/>
    <mergeCell ref="A7:B7"/>
    <mergeCell ref="A9:A10"/>
    <mergeCell ref="A5:B5"/>
    <mergeCell ref="C7:L7"/>
    <mergeCell ref="D9:F9"/>
    <mergeCell ref="A6:B6"/>
  </mergeCells>
  <pageMargins left="0.7" right="0.7" top="0.75" bottom="0.75" header="0.3" footer="0.3"/>
  <pageSetup orientation="portrait" paperSize="9" scale="91" horizontalDpi="0" verticalDpi="0"/>
  <colBreaks count="1" manualBreakCount="1">
    <brk id="9" min="0" max="1048575" man="1"/>
  </col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Admin</dc:creator>
  <dcterms:created xmlns:dcterms="http://purl.org/dc/terms/" xmlns:xsi="http://www.w3.org/2001/XMLSchema-instance" xsi:type="dcterms:W3CDTF">2023-02-20T11:27:09Z</dcterms:created>
  <dcterms:modified xmlns:dcterms="http://purl.org/dc/terms/" xmlns:xsi="http://www.w3.org/2001/XMLSchema-instance" xsi:type="dcterms:W3CDTF">2026-06-08T19:35:53Z</dcterms:modified>
  <cp:lastModifiedBy>Admin</cp:lastModifiedBy>
</cp:coreProperties>
</file>