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9"/>
    </font>
    <font>
      <name val="Calibri"/>
      <b val="1"/>
      <sz val="9"/>
    </font>
    <font>
      <name val="Calibri"/>
      <b val="1"/>
      <color rgb="FF00B050"/>
      <sz val="9"/>
    </font>
    <font>
      <name val="Calibri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dotted">
        <color rgb="FFB0B0B0"/>
      </left>
      <right style="dotted">
        <color rgb="FFB0B0B0"/>
      </right>
      <top style="dotted">
        <color rgb="FFB0B0B0"/>
      </top>
      <bottom style="dotted">
        <color rgb="FFB0B0B0"/>
      </bottom>
    </border>
    <border>
      <left style="dotted">
        <color rgb="FFB0B0B0"/>
      </left>
      <right style="dotted">
        <color rgb="FFB0B0B0"/>
      </right>
      <top style="dotted">
        <color rgb="FFB0B0B0"/>
      </top>
      <bottom style="double">
        <color rgb="FF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4" fontId="3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8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PRESUPUESTO GENERAL ESTIMADO</t>
        </is>
      </c>
    </row>
    <row r="2">
      <c r="A2" s="2" t="inlineStr">
        <is>
          <t>Renzo Gabriel Mamani Galindo | Instalaciones Electricas I | UNAP</t>
        </is>
      </c>
    </row>
    <row r="3">
      <c r="A3" s="2" t="inlineStr">
        <is>
          <t>Vivienda Unifamiliar 3 Niveles - Capachica, Puno</t>
        </is>
      </c>
    </row>
    <row r="5" ht="20" customHeight="1">
      <c r="A5" s="3" t="inlineStr">
        <is>
          <t>Item</t>
        </is>
      </c>
      <c r="B5" s="3" t="inlineStr">
        <is>
          <t>Codigo</t>
        </is>
      </c>
      <c r="C5" s="3" t="inlineStr">
        <is>
          <t>Descripcion</t>
        </is>
      </c>
      <c r="D5" s="3" t="inlineStr">
        <is>
          <t>Und.</t>
        </is>
      </c>
      <c r="E5" s="3" t="inlineStr">
        <is>
          <t>Cant.</t>
        </is>
      </c>
      <c r="F5" s="3" t="inlineStr">
        <is>
          <t>P.U.(S/.)</t>
        </is>
      </c>
      <c r="G5" s="3" t="inlineStr">
        <is>
          <t>Parcial(S/.)</t>
        </is>
      </c>
    </row>
    <row r="6" ht="15.75" customHeight="1">
      <c r="A6" s="4" t="inlineStr">
        <is>
          <t>01.00</t>
        </is>
      </c>
      <c r="B6" s="4" t="inlineStr">
        <is>
          <t>RED</t>
        </is>
      </c>
      <c r="C6" s="5" t="inlineStr">
        <is>
          <t>CONEXION A LA RED EXTERNA DE MEDIDORES</t>
        </is>
      </c>
      <c r="D6" s="5" t="n"/>
      <c r="E6" s="5" t="n"/>
      <c r="F6" s="5" t="n"/>
      <c r="G6" s="5" t="n"/>
    </row>
    <row r="7" ht="15.75" customHeight="1">
      <c r="A7" s="6" t="inlineStr">
        <is>
          <t>01.01</t>
        </is>
      </c>
      <c r="B7" s="6" t="inlineStr">
        <is>
          <t>RED-01</t>
        </is>
      </c>
      <c r="C7" s="7" t="inlineStr">
        <is>
          <t>Acometida e Instalacion de Caja Portamedidor Monofasico referencial</t>
        </is>
      </c>
      <c r="D7" s="6" t="inlineStr">
        <is>
          <t>UND</t>
        </is>
      </c>
      <c r="E7" s="8" t="n">
        <v>1</v>
      </c>
      <c r="F7" s="9" t="n">
        <v>120</v>
      </c>
      <c r="G7" s="9">
        <f>E7*F7</f>
        <v/>
      </c>
    </row>
    <row r="8" ht="15.75" customHeight="1">
      <c r="A8" s="4" t="inlineStr">
        <is>
          <t>02.00</t>
        </is>
      </c>
      <c r="B8" s="4" t="inlineStr">
        <is>
          <t>TUB</t>
        </is>
      </c>
      <c r="C8" s="5" t="inlineStr">
        <is>
          <t>TUBERIAS Y CANALIZACIONES</t>
        </is>
      </c>
      <c r="D8" s="5" t="n"/>
      <c r="E8" s="5" t="n"/>
      <c r="F8" s="5" t="n"/>
      <c r="G8" s="5" t="n"/>
    </row>
    <row r="9" ht="15.75" customHeight="1">
      <c r="A9" s="6" t="inlineStr">
        <is>
          <t>02.01</t>
        </is>
      </c>
      <c r="B9" s="6" t="inlineStr">
        <is>
          <t>TUB-01</t>
        </is>
      </c>
      <c r="C9" s="7" t="inlineStr">
        <is>
          <t>Tubería PVC Liviana (PV-L) 3/4" (Alumbrado)</t>
        </is>
      </c>
      <c r="D9" s="6" t="inlineStr">
        <is>
          <t>m</t>
        </is>
      </c>
      <c r="E9" s="10" t="n">
        <v>120.4</v>
      </c>
      <c r="F9" s="9" t="n">
        <v>3.5</v>
      </c>
      <c r="G9" s="9">
        <f>E9*F9</f>
        <v/>
      </c>
    </row>
    <row r="10" ht="15.75" customHeight="1">
      <c r="A10" s="6" t="inlineStr">
        <is>
          <t>02.02</t>
        </is>
      </c>
      <c r="B10" s="6" t="inlineStr">
        <is>
          <t>TUB-02</t>
        </is>
      </c>
      <c r="C10" s="7" t="inlineStr">
        <is>
          <t>Tubería PVC Pesada (PV-P) 3/4" (Tomacorrientes)</t>
        </is>
      </c>
      <c r="D10" s="6" t="inlineStr">
        <is>
          <t>m</t>
        </is>
      </c>
      <c r="E10" s="10" t="n">
        <v>151.1</v>
      </c>
      <c r="F10" s="9" t="n">
        <v>4.5</v>
      </c>
      <c r="G10" s="9">
        <f>E10*F10</f>
        <v/>
      </c>
    </row>
    <row r="11" ht="15.75" customHeight="1">
      <c r="A11" s="6" t="inlineStr">
        <is>
          <t>02.03</t>
        </is>
      </c>
      <c r="B11" s="6" t="inlineStr">
        <is>
          <t>TUB-03</t>
        </is>
      </c>
      <c r="C11" s="7" t="inlineStr">
        <is>
          <t>Tubería PVC Pesada (PV-P) 1" (Alimentador)</t>
        </is>
      </c>
      <c r="D11" s="6" t="inlineStr">
        <is>
          <t>m</t>
        </is>
      </c>
      <c r="E11" s="8" t="n">
        <v>25</v>
      </c>
      <c r="F11" s="9" t="n">
        <v>8.5</v>
      </c>
      <c r="G11" s="9">
        <f>E11*F11</f>
        <v/>
      </c>
    </row>
    <row r="12" ht="15.75" customHeight="1">
      <c r="A12" s="6" t="inlineStr">
        <is>
          <t>02.04</t>
        </is>
      </c>
      <c r="B12" s="6" t="inlineStr">
        <is>
          <t>TUB-04</t>
        </is>
      </c>
      <c r="C12" s="7" t="inlineStr">
        <is>
          <t>Curva PVC Pesada (PV-P) 3/4" (Tomacorrientes)</t>
        </is>
      </c>
      <c r="D12" s="6" t="inlineStr">
        <is>
          <t>pza</t>
        </is>
      </c>
      <c r="E12" s="8" t="n">
        <v>45</v>
      </c>
      <c r="F12" s="9" t="n">
        <v>2.5</v>
      </c>
      <c r="G12" s="9">
        <f>E12*F12</f>
        <v/>
      </c>
    </row>
    <row r="13" ht="15.75" customHeight="1">
      <c r="A13" s="6" t="inlineStr">
        <is>
          <t>02.05</t>
        </is>
      </c>
      <c r="B13" s="6" t="inlineStr">
        <is>
          <t>TUB-05</t>
        </is>
      </c>
      <c r="C13" s="7" t="inlineStr">
        <is>
          <t>Curva PVC Liviana (PV-L) 3/4" (Alumbrado)</t>
        </is>
      </c>
      <c r="D13" s="6" t="inlineStr">
        <is>
          <t>pza</t>
        </is>
      </c>
      <c r="E13" s="8" t="n">
        <v>12</v>
      </c>
      <c r="F13" s="9" t="n">
        <v>1.8</v>
      </c>
      <c r="G13" s="9">
        <f>E13*F13</f>
        <v/>
      </c>
    </row>
    <row r="14" ht="15.75" customHeight="1">
      <c r="A14" s="6" t="inlineStr">
        <is>
          <t>02.06</t>
        </is>
      </c>
      <c r="B14" s="6" t="inlineStr">
        <is>
          <t>TUB-06</t>
        </is>
      </c>
      <c r="C14" s="7" t="inlineStr">
        <is>
          <t>Curva PVC Pesada (PV-P) 1" (Alimentadores)</t>
        </is>
      </c>
      <c r="D14" s="6" t="inlineStr">
        <is>
          <t>pza</t>
        </is>
      </c>
      <c r="E14" s="8" t="n">
        <v>6</v>
      </c>
      <c r="F14" s="9" t="n">
        <v>4.2</v>
      </c>
      <c r="G14" s="9">
        <f>E14*F14</f>
        <v/>
      </c>
    </row>
    <row r="15" ht="15.75" customHeight="1">
      <c r="A15" s="6" t="inlineStr">
        <is>
          <t>02.07</t>
        </is>
      </c>
      <c r="B15" s="6" t="inlineStr">
        <is>
          <t>TUB-07</t>
        </is>
      </c>
      <c r="C15" s="7" t="inlineStr">
        <is>
          <t>Accesorios de canalización (pegamento, curvas)</t>
        </is>
      </c>
      <c r="D15" s="6" t="inlineStr">
        <is>
          <t>glb</t>
        </is>
      </c>
      <c r="E15" s="8" t="n">
        <v>1</v>
      </c>
      <c r="F15" s="9" t="n">
        <v>200</v>
      </c>
      <c r="G15" s="9">
        <f>E15*F15</f>
        <v/>
      </c>
    </row>
    <row r="16" ht="15.75" customHeight="1">
      <c r="A16" s="4" t="inlineStr">
        <is>
          <t>03.00</t>
        </is>
      </c>
      <c r="B16" s="4" t="inlineStr">
        <is>
          <t>CON</t>
        </is>
      </c>
      <c r="C16" s="5" t="inlineStr">
        <is>
          <t>CONDUCTORES Y CABLES</t>
        </is>
      </c>
      <c r="D16" s="5" t="n"/>
      <c r="E16" s="5" t="n"/>
      <c r="F16" s="5" t="n"/>
      <c r="G16" s="5" t="n"/>
    </row>
    <row r="17" ht="15.75" customHeight="1">
      <c r="A17" s="6" t="inlineStr">
        <is>
          <t>03.01</t>
        </is>
      </c>
      <c r="B17" s="6" t="inlineStr">
        <is>
          <t>CON-01</t>
        </is>
      </c>
      <c r="C17" s="7" t="inlineStr">
        <is>
          <t>Conductor de cobre LSOH 1.5 mm2 (Fase+Neutro Alumbrado)</t>
        </is>
      </c>
      <c r="D17" s="6" t="inlineStr">
        <is>
          <t>m</t>
        </is>
      </c>
      <c r="E17" s="8" t="n">
        <v>240</v>
      </c>
      <c r="F17" s="9" t="n">
        <v>2.8</v>
      </c>
      <c r="G17" s="9">
        <f>E17*F17</f>
        <v/>
      </c>
    </row>
    <row r="18" ht="15.75" customHeight="1">
      <c r="A18" s="6" t="inlineStr">
        <is>
          <t>03.02</t>
        </is>
      </c>
      <c r="B18" s="6" t="inlineStr">
        <is>
          <t>CON-02</t>
        </is>
      </c>
      <c r="C18" s="7" t="inlineStr">
        <is>
          <t>Conductor de cobre LSOH 1.5 mm2 (Tierra PE Alumbrado)</t>
        </is>
      </c>
      <c r="D18" s="6" t="inlineStr">
        <is>
          <t>m</t>
        </is>
      </c>
      <c r="E18" s="8" t="n">
        <v>110</v>
      </c>
      <c r="F18" s="9" t="n">
        <v>2.8</v>
      </c>
      <c r="G18" s="9">
        <f>E18*F18</f>
        <v/>
      </c>
    </row>
    <row r="19" ht="15.75" customHeight="1">
      <c r="A19" s="6" t="inlineStr">
        <is>
          <t>03.03</t>
        </is>
      </c>
      <c r="B19" s="6" t="inlineStr">
        <is>
          <t>CON-03</t>
        </is>
      </c>
      <c r="C19" s="7" t="inlineStr">
        <is>
          <t>Conductor de cobre LSOH 2.5 mm2 (Fase+Neutro Tomacorrientes)</t>
        </is>
      </c>
      <c r="D19" s="6" t="inlineStr">
        <is>
          <t>m</t>
        </is>
      </c>
      <c r="E19" s="8" t="n">
        <v>300</v>
      </c>
      <c r="F19" s="9" t="n">
        <v>4.5</v>
      </c>
      <c r="G19" s="9">
        <f>E19*F19</f>
        <v/>
      </c>
    </row>
    <row r="20" ht="15.75" customHeight="1">
      <c r="A20" s="6" t="inlineStr">
        <is>
          <t>03.04</t>
        </is>
      </c>
      <c r="B20" s="6" t="inlineStr">
        <is>
          <t>CON-04</t>
        </is>
      </c>
      <c r="C20" s="7" t="inlineStr">
        <is>
          <t>Conductor de cobre LSOH 2.5 mm2 (Tierra PE Tomacorrientes)</t>
        </is>
      </c>
      <c r="D20" s="6" t="inlineStr">
        <is>
          <t>m</t>
        </is>
      </c>
      <c r="E20" s="8" t="n">
        <v>150</v>
      </c>
      <c r="F20" s="9" t="n">
        <v>4.5</v>
      </c>
      <c r="G20" s="9">
        <f>E20*F20</f>
        <v/>
      </c>
    </row>
    <row r="21" ht="15.75" customHeight="1">
      <c r="A21" s="6" t="inlineStr">
        <is>
          <t>03.05</t>
        </is>
      </c>
      <c r="B21" s="6" t="inlineStr">
        <is>
          <t>CON-05</t>
        </is>
      </c>
      <c r="C21" s="7" t="inlineStr">
        <is>
          <t>Conductor de cobre LSOH 2.5 mm2 (Alimentación Electrobomba)</t>
        </is>
      </c>
      <c r="D21" s="6" t="inlineStr">
        <is>
          <t>m</t>
        </is>
      </c>
      <c r="E21" s="8" t="n">
        <v>35</v>
      </c>
      <c r="F21" s="9" t="n">
        <v>4.5</v>
      </c>
      <c r="G21" s="9">
        <f>E21*F21</f>
        <v/>
      </c>
    </row>
    <row r="22" ht="15.75" customHeight="1">
      <c r="A22" s="6" t="inlineStr">
        <is>
          <t>03.06</t>
        </is>
      </c>
      <c r="B22" s="6" t="inlineStr">
        <is>
          <t>CON-06</t>
        </is>
      </c>
      <c r="C22" s="7" t="inlineStr">
        <is>
          <t>Conductor de cobre LSOH 10 mm2 (Alimentador General)</t>
        </is>
      </c>
      <c r="D22" s="6" t="inlineStr">
        <is>
          <t>m</t>
        </is>
      </c>
      <c r="E22" s="8" t="n">
        <v>60</v>
      </c>
      <c r="F22" s="9" t="n">
        <v>16</v>
      </c>
      <c r="G22" s="9">
        <f>E22*F22</f>
        <v/>
      </c>
    </row>
    <row r="23" ht="15.75" customHeight="1">
      <c r="A23" s="6" t="inlineStr">
        <is>
          <t>03.07</t>
        </is>
      </c>
      <c r="B23" s="6" t="inlineStr">
        <is>
          <t>CON-07</t>
        </is>
      </c>
      <c r="C23" s="7" t="inlineStr">
        <is>
          <t>Conductor de cobre temple blando 6 mm2 (Pozo de Tierra)</t>
        </is>
      </c>
      <c r="D23" s="6" t="inlineStr">
        <is>
          <t>m</t>
        </is>
      </c>
      <c r="E23" s="8" t="n">
        <v>25</v>
      </c>
      <c r="F23" s="9" t="n">
        <v>8</v>
      </c>
      <c r="G23" s="9">
        <f>E23*F23</f>
        <v/>
      </c>
    </row>
    <row r="24" ht="15.75" customHeight="1">
      <c r="A24" s="4" t="inlineStr">
        <is>
          <t>04.00</t>
        </is>
      </c>
      <c r="B24" s="4" t="inlineStr">
        <is>
          <t>CAJ</t>
        </is>
      </c>
      <c r="C24" s="5" t="inlineStr">
        <is>
          <t>CAJAS DE PASE Y SALIDA</t>
        </is>
      </c>
      <c r="D24" s="5" t="n"/>
      <c r="E24" s="5" t="n"/>
      <c r="F24" s="5" t="n"/>
      <c r="G24" s="5" t="n"/>
    </row>
    <row r="25" ht="15.75" customHeight="1">
      <c r="A25" s="6" t="inlineStr">
        <is>
          <t>04.01</t>
        </is>
      </c>
      <c r="B25" s="6" t="inlineStr">
        <is>
          <t>CAJ-01</t>
        </is>
      </c>
      <c r="C25" s="7" t="inlineStr">
        <is>
          <t>Caja octogonal FG 4"x2" (Luminarias)</t>
        </is>
      </c>
      <c r="D25" s="6" t="inlineStr">
        <is>
          <t>pza</t>
        </is>
      </c>
      <c r="E25" s="8" t="n">
        <v>19</v>
      </c>
      <c r="F25" s="9" t="n">
        <v>3.5</v>
      </c>
      <c r="G25" s="9">
        <f>E25*F25</f>
        <v/>
      </c>
    </row>
    <row r="26" ht="15.75" customHeight="1">
      <c r="A26" s="6" t="inlineStr">
        <is>
          <t>04.02</t>
        </is>
      </c>
      <c r="B26" s="6" t="inlineStr">
        <is>
          <t>CAJ-02</t>
        </is>
      </c>
      <c r="C26" s="7" t="inlineStr">
        <is>
          <t>Caja rectangular FG 4"x2" (Interruptores)</t>
        </is>
      </c>
      <c r="D26" s="6" t="inlineStr">
        <is>
          <t>pza</t>
        </is>
      </c>
      <c r="E26" s="8" t="n">
        <v>10</v>
      </c>
      <c r="F26" s="9" t="n">
        <v>3.2</v>
      </c>
      <c r="G26" s="9">
        <f>E26*F26</f>
        <v/>
      </c>
    </row>
    <row r="27" ht="15.75" customHeight="1">
      <c r="A27" s="6" t="inlineStr">
        <is>
          <t>04.03</t>
        </is>
      </c>
      <c r="B27" s="6" t="inlineStr">
        <is>
          <t>CAJ-03</t>
        </is>
      </c>
      <c r="C27" s="7" t="inlineStr">
        <is>
          <t>Caja rectangular FG 4"x2" (Tomacorrientes dobles)</t>
        </is>
      </c>
      <c r="D27" s="6" t="inlineStr">
        <is>
          <t>pza</t>
        </is>
      </c>
      <c r="E27" s="8" t="n">
        <v>24</v>
      </c>
      <c r="F27" s="9" t="n">
        <v>3.2</v>
      </c>
      <c r="G27" s="9">
        <f>E27*F27</f>
        <v/>
      </c>
    </row>
    <row r="28" ht="15.75" customHeight="1">
      <c r="A28" s="6" t="inlineStr">
        <is>
          <t>04.04</t>
        </is>
      </c>
      <c r="B28" s="6" t="inlineStr">
        <is>
          <t>CAJ-04</t>
        </is>
      </c>
      <c r="C28" s="7" t="inlineStr">
        <is>
          <t>Caja rectangular FG 4"x2" (GFCI)</t>
        </is>
      </c>
      <c r="D28" s="6" t="inlineStr">
        <is>
          <t>pza</t>
        </is>
      </c>
      <c r="E28" s="8" t="n">
        <v>2</v>
      </c>
      <c r="F28" s="9" t="n">
        <v>3.2</v>
      </c>
      <c r="G28" s="9">
        <f>E28*F28</f>
        <v/>
      </c>
    </row>
    <row r="29" ht="15.75" customHeight="1">
      <c r="A29" s="6" t="inlineStr">
        <is>
          <t>04.05</t>
        </is>
      </c>
      <c r="B29" s="6" t="inlineStr">
        <is>
          <t>CAJ-05</t>
        </is>
      </c>
      <c r="C29" s="7" t="inlineStr">
        <is>
          <t>Caja rectangular FG 4"x2" (Servicio pesado)</t>
        </is>
      </c>
      <c r="D29" s="6" t="inlineStr">
        <is>
          <t>pza</t>
        </is>
      </c>
      <c r="E29" s="8" t="n">
        <v>3</v>
      </c>
      <c r="F29" s="9" t="n">
        <v>3.2</v>
      </c>
      <c r="G29" s="9">
        <f>E29*F29</f>
        <v/>
      </c>
    </row>
    <row r="30" ht="15.75" customHeight="1">
      <c r="A30" s="6" t="inlineStr">
        <is>
          <t>04.06</t>
        </is>
      </c>
      <c r="B30" s="6" t="inlineStr">
        <is>
          <t>CAJ-06</t>
        </is>
      </c>
      <c r="C30" s="7" t="inlineStr">
        <is>
          <t>Caja de pase rectangular 4"x2" FG</t>
        </is>
      </c>
      <c r="D30" s="6" t="inlineStr">
        <is>
          <t>pza</t>
        </is>
      </c>
      <c r="E30" s="8" t="n">
        <v>6</v>
      </c>
      <c r="F30" s="9" t="n">
        <v>4.5</v>
      </c>
      <c r="G30" s="9">
        <f>E30*F30</f>
        <v/>
      </c>
    </row>
    <row r="31" ht="15.75" customHeight="1">
      <c r="A31" s="4" t="inlineStr">
        <is>
          <t>05.00</t>
        </is>
      </c>
      <c r="B31" s="4" t="inlineStr">
        <is>
          <t>TAB</t>
        </is>
      </c>
      <c r="C31" s="5" t="inlineStr">
        <is>
          <t>TABLEROS DE DISTRIBUCION</t>
        </is>
      </c>
      <c r="D31" s="5" t="n"/>
      <c r="E31" s="5" t="n"/>
      <c r="F31" s="5" t="n"/>
      <c r="G31" s="5" t="n"/>
    </row>
    <row r="32" ht="15.75" customHeight="1">
      <c r="A32" s="6" t="inlineStr">
        <is>
          <t>05.01</t>
        </is>
      </c>
      <c r="B32" s="6" t="inlineStr">
        <is>
          <t>TAB-01</t>
        </is>
      </c>
      <c r="C32" s="7" t="inlineStr">
        <is>
          <t>Tablero General TG-01 (12 polos, metálico empotrable)</t>
        </is>
      </c>
      <c r="D32" s="6" t="inlineStr">
        <is>
          <t>u</t>
        </is>
      </c>
      <c r="E32" s="8" t="n">
        <v>1</v>
      </c>
      <c r="F32" s="9" t="n">
        <v>450</v>
      </c>
      <c r="G32" s="9">
        <f>E32*F32</f>
        <v/>
      </c>
    </row>
    <row r="33" ht="15.75" customHeight="1">
      <c r="A33" s="6" t="inlineStr">
        <is>
          <t>05.02</t>
        </is>
      </c>
      <c r="B33" s="6" t="inlineStr">
        <is>
          <t>TAB-02</t>
        </is>
      </c>
      <c r="C33" s="7" t="inlineStr">
        <is>
          <t>Tablero de Distribución TD-01 (8 polos, metálico empotrable)</t>
        </is>
      </c>
      <c r="D33" s="6" t="inlineStr">
        <is>
          <t>u</t>
        </is>
      </c>
      <c r="E33" s="8" t="n">
        <v>1</v>
      </c>
      <c r="F33" s="9" t="n">
        <v>320</v>
      </c>
      <c r="G33" s="9">
        <f>E33*F33</f>
        <v/>
      </c>
    </row>
    <row r="34" ht="15.75" customHeight="1">
      <c r="A34" s="6" t="inlineStr">
        <is>
          <t>05.03</t>
        </is>
      </c>
      <c r="B34" s="6" t="inlineStr">
        <is>
          <t>TAB-03</t>
        </is>
      </c>
      <c r="C34" s="7" t="inlineStr">
        <is>
          <t>Tablero de Distribución TD-02 (8 polos, metálico empotrable)</t>
        </is>
      </c>
      <c r="D34" s="6" t="inlineStr">
        <is>
          <t>u</t>
        </is>
      </c>
      <c r="E34" s="8" t="n">
        <v>1</v>
      </c>
      <c r="F34" s="9" t="n">
        <v>320</v>
      </c>
      <c r="G34" s="9">
        <f>E34*F34</f>
        <v/>
      </c>
    </row>
    <row r="35" ht="15.75" customHeight="1">
      <c r="A35" s="4" t="inlineStr">
        <is>
          <t>06.00</t>
        </is>
      </c>
      <c r="B35" s="4" t="inlineStr">
        <is>
          <t>ACC</t>
        </is>
      </c>
      <c r="C35" s="5" t="inlineStr">
        <is>
          <t>ACCESORIOS Y PROTECCIONES</t>
        </is>
      </c>
      <c r="D35" s="5" t="n"/>
      <c r="E35" s="5" t="n"/>
      <c r="F35" s="5" t="n"/>
      <c r="G35" s="5" t="n"/>
    </row>
    <row r="36" ht="15.75" customHeight="1">
      <c r="A36" s="6" t="inlineStr">
        <is>
          <t>06.01</t>
        </is>
      </c>
      <c r="B36" s="6" t="inlineStr">
        <is>
          <t>ACC-01</t>
        </is>
      </c>
      <c r="C36" s="7" t="inlineStr">
        <is>
          <t>Interruptor simple unipolar (placa completa)</t>
        </is>
      </c>
      <c r="D36" s="6" t="inlineStr">
        <is>
          <t>pza</t>
        </is>
      </c>
      <c r="E36" s="8" t="n">
        <v>6</v>
      </c>
      <c r="F36" s="9" t="n">
        <v>12</v>
      </c>
      <c r="G36" s="9">
        <f>E36*F36</f>
        <v/>
      </c>
    </row>
    <row r="37" ht="15.75" customHeight="1">
      <c r="A37" s="6" t="inlineStr">
        <is>
          <t>06.02</t>
        </is>
      </c>
      <c r="B37" s="6" t="inlineStr">
        <is>
          <t>ACC-02</t>
        </is>
      </c>
      <c r="C37" s="7" t="inlineStr">
        <is>
          <t>Interruptor de conmutación 3 vías (S3, completo)</t>
        </is>
      </c>
      <c r="D37" s="6" t="inlineStr">
        <is>
          <t>pza</t>
        </is>
      </c>
      <c r="E37" s="8" t="n">
        <v>4</v>
      </c>
      <c r="F37" s="9" t="n">
        <v>15</v>
      </c>
      <c r="G37" s="9">
        <f>E37*F37</f>
        <v/>
      </c>
    </row>
    <row r="38" ht="15.75" customHeight="1">
      <c r="A38" s="6" t="inlineStr">
        <is>
          <t>06.03</t>
        </is>
      </c>
      <c r="B38" s="6" t="inlineStr">
        <is>
          <t>ACC-03</t>
        </is>
      </c>
      <c r="C38" s="7" t="inlineStr">
        <is>
          <t>Tomacorriente doble con tierra (completo)</t>
        </is>
      </c>
      <c r="D38" s="6" t="inlineStr">
        <is>
          <t>pza</t>
        </is>
      </c>
      <c r="E38" s="8" t="n">
        <v>24</v>
      </c>
      <c r="F38" s="9" t="n">
        <v>14.5</v>
      </c>
      <c r="G38" s="9">
        <f>E38*F38</f>
        <v/>
      </c>
    </row>
    <row r="39" ht="15.75" customHeight="1">
      <c r="A39" s="6" t="inlineStr">
        <is>
          <t>06.04</t>
        </is>
      </c>
      <c r="B39" s="6" t="inlineStr">
        <is>
          <t>ACC-04</t>
        </is>
      </c>
      <c r="C39" s="7" t="inlineStr">
        <is>
          <t>Tomacorriente doble con protección GFCI (baños)</t>
        </is>
      </c>
      <c r="D39" s="6" t="inlineStr">
        <is>
          <t>pza</t>
        </is>
      </c>
      <c r="E39" s="8" t="n">
        <v>2</v>
      </c>
      <c r="F39" s="9" t="n">
        <v>45</v>
      </c>
      <c r="G39" s="9">
        <f>E39*F39</f>
        <v/>
      </c>
    </row>
    <row r="40" ht="15.75" customHeight="1">
      <c r="A40" s="6" t="inlineStr">
        <is>
          <t>06.05</t>
        </is>
      </c>
      <c r="B40" s="6" t="inlineStr">
        <is>
          <t>ACC-05</t>
        </is>
      </c>
      <c r="C40" s="7" t="inlineStr">
        <is>
          <t>Tomacorriente servicio pesado 20A (completo)</t>
        </is>
      </c>
      <c r="D40" s="6" t="inlineStr">
        <is>
          <t>pza</t>
        </is>
      </c>
      <c r="E40" s="8" t="n">
        <v>3</v>
      </c>
      <c r="F40" s="9" t="n">
        <v>22</v>
      </c>
      <c r="G40" s="9">
        <f>E40*F40</f>
        <v/>
      </c>
    </row>
    <row r="41" ht="15.75" customHeight="1">
      <c r="A41" s="6" t="inlineStr">
        <is>
          <t>06.06</t>
        </is>
      </c>
      <c r="B41" s="6" t="inlineStr">
        <is>
          <t>ACC-06</t>
        </is>
      </c>
      <c r="C41" s="7" t="inlineStr">
        <is>
          <t>Interruptor termomagnético 2P-10A (Alumbrado)</t>
        </is>
      </c>
      <c r="D41" s="6" t="inlineStr">
        <is>
          <t>pza</t>
        </is>
      </c>
      <c r="E41" s="8" t="n">
        <v>3</v>
      </c>
      <c r="F41" s="9" t="n">
        <v>35</v>
      </c>
      <c r="G41" s="9">
        <f>E41*F41</f>
        <v/>
      </c>
    </row>
    <row r="42" ht="15.75" customHeight="1">
      <c r="A42" s="6" t="inlineStr">
        <is>
          <t>06.07</t>
        </is>
      </c>
      <c r="B42" s="6" t="inlineStr">
        <is>
          <t>ACC-07</t>
        </is>
      </c>
      <c r="C42" s="7" t="inlineStr">
        <is>
          <t>Interruptor termomagnético 2P-16A (Tomacorrientes)</t>
        </is>
      </c>
      <c r="D42" s="6" t="inlineStr">
        <is>
          <t>pza</t>
        </is>
      </c>
      <c r="E42" s="8" t="n">
        <v>5</v>
      </c>
      <c r="F42" s="9" t="n">
        <v>38</v>
      </c>
      <c r="G42" s="9">
        <f>E42*F42</f>
        <v/>
      </c>
    </row>
    <row r="43" ht="15.75" customHeight="1">
      <c r="A43" s="6" t="inlineStr">
        <is>
          <t>06.08</t>
        </is>
      </c>
      <c r="B43" s="6" t="inlineStr">
        <is>
          <t>ACC-08</t>
        </is>
      </c>
      <c r="C43" s="7" t="inlineStr">
        <is>
          <t>Interruptor termomagnético 2P-20A (Cocina)</t>
        </is>
      </c>
      <c r="D43" s="6" t="inlineStr">
        <is>
          <t>pza</t>
        </is>
      </c>
      <c r="E43" s="8" t="n">
        <v>1</v>
      </c>
      <c r="F43" s="9" t="n">
        <v>42</v>
      </c>
      <c r="G43" s="9">
        <f>E43*F43</f>
        <v/>
      </c>
    </row>
    <row r="44" ht="15.75" customHeight="1">
      <c r="A44" s="6" t="inlineStr">
        <is>
          <t>06.09</t>
        </is>
      </c>
      <c r="B44" s="6" t="inlineStr">
        <is>
          <t>ACC-09</t>
        </is>
      </c>
      <c r="C44" s="7" t="inlineStr">
        <is>
          <t>Interruptor termomagnético general 2P-40A (TG-01)</t>
        </is>
      </c>
      <c r="D44" s="6" t="inlineStr">
        <is>
          <t>pza</t>
        </is>
      </c>
      <c r="E44" s="8" t="n">
        <v>1</v>
      </c>
      <c r="F44" s="9" t="n">
        <v>85</v>
      </c>
      <c r="G44" s="9">
        <f>E44*F44</f>
        <v/>
      </c>
    </row>
    <row r="45" ht="15.75" customHeight="1">
      <c r="A45" s="6" t="inlineStr">
        <is>
          <t>06.10</t>
        </is>
      </c>
      <c r="B45" s="6" t="inlineStr">
        <is>
          <t>ACC-10</t>
        </is>
      </c>
      <c r="C45" s="7" t="inlineStr">
        <is>
          <t>Interruptor diferencial 2P-25A-30mA (Personas)</t>
        </is>
      </c>
      <c r="D45" s="6" t="inlineStr">
        <is>
          <t>pza</t>
        </is>
      </c>
      <c r="E45" s="8" t="n">
        <v>1</v>
      </c>
      <c r="F45" s="9" t="n">
        <v>120</v>
      </c>
      <c r="G45" s="9">
        <f>E45*F45</f>
        <v/>
      </c>
    </row>
    <row r="46" ht="15.75" customHeight="1">
      <c r="A46" s="4" t="inlineStr">
        <is>
          <t>07.00</t>
        </is>
      </c>
      <c r="B46" s="4" t="inlineStr">
        <is>
          <t>PAT</t>
        </is>
      </c>
      <c r="C46" s="5" t="inlineStr">
        <is>
          <t>SISTEMA DE PUESTA A TIERRA</t>
        </is>
      </c>
      <c r="D46" s="5" t="n"/>
      <c r="E46" s="5" t="n"/>
      <c r="F46" s="5" t="n"/>
      <c r="G46" s="5" t="n"/>
    </row>
    <row r="47" ht="15.75" customHeight="1">
      <c r="A47" s="6" t="inlineStr">
        <is>
          <t>07.01</t>
        </is>
      </c>
      <c r="B47" s="6" t="inlineStr">
        <is>
          <t>PAT-01</t>
        </is>
      </c>
      <c r="C47" s="7" t="inlineStr">
        <is>
          <t>Varilla de cobre 5/8" x 2.40m, conector, caja registro, gel conductor y accesorios</t>
        </is>
      </c>
      <c r="D47" s="6" t="inlineStr">
        <is>
          <t>jgo</t>
        </is>
      </c>
      <c r="E47" s="8" t="n">
        <v>1</v>
      </c>
      <c r="F47" s="9" t="n">
        <v>650</v>
      </c>
      <c r="G47" s="9">
        <f>E47*F47</f>
        <v/>
      </c>
    </row>
    <row r="48" ht="15.75" customHeight="1">
      <c r="A48" s="4" t="inlineStr">
        <is>
          <t>08.00</t>
        </is>
      </c>
      <c r="B48" s="4" t="inlineStr">
        <is>
          <t>LUM</t>
        </is>
      </c>
      <c r="C48" s="5" t="inlineStr">
        <is>
          <t>ARTEFACTOS DE ALUMBRADO</t>
        </is>
      </c>
      <c r="D48" s="5" t="n"/>
      <c r="E48" s="5" t="n"/>
      <c r="F48" s="5" t="n"/>
      <c r="G48" s="5" t="n"/>
    </row>
    <row r="49" ht="15.75" customHeight="1">
      <c r="A49" s="6" t="inlineStr">
        <is>
          <t>08.01</t>
        </is>
      </c>
      <c r="B49" s="6" t="inlineStr">
        <is>
          <t>LUM-01</t>
        </is>
      </c>
      <c r="C49" s="7" t="inlineStr">
        <is>
          <t>Luminaria LED interior de adosar 12 W</t>
        </is>
      </c>
      <c r="D49" s="6" t="inlineStr">
        <is>
          <t>pza</t>
        </is>
      </c>
      <c r="E49" s="8" t="n">
        <v>19</v>
      </c>
      <c r="F49" s="9" t="n">
        <v>25</v>
      </c>
      <c r="G49" s="9">
        <f>E49*F49</f>
        <v/>
      </c>
    </row>
    <row r="50" ht="15.75" customHeight="1">
      <c r="A50" s="4" t="inlineStr">
        <is>
          <t>09.00</t>
        </is>
      </c>
      <c r="B50" s="4" t="inlineStr">
        <is>
          <t>EQM</t>
        </is>
      </c>
      <c r="C50" s="5" t="inlineStr">
        <is>
          <t>EQUIPOS ELECTRICOS Y MECANICOS</t>
        </is>
      </c>
      <c r="D50" s="5" t="n"/>
      <c r="E50" s="5" t="n"/>
      <c r="F50" s="5" t="n"/>
      <c r="G50" s="5" t="n"/>
    </row>
    <row r="51" ht="15.75" customHeight="1">
      <c r="A51" s="6" t="inlineStr">
        <is>
          <t>09.01</t>
        </is>
      </c>
      <c r="B51" s="6" t="inlineStr">
        <is>
          <t>EQM-01</t>
        </is>
      </c>
      <c r="C51" s="7" t="inlineStr">
        <is>
          <t>Electrobomba monofásica de agua 1 HP, 220V, 60Hz</t>
        </is>
      </c>
      <c r="D51" s="6" t="inlineStr">
        <is>
          <t>UND</t>
        </is>
      </c>
      <c r="E51" s="8" t="n">
        <v>1</v>
      </c>
      <c r="F51" s="9" t="n">
        <v>450</v>
      </c>
      <c r="G51" s="9">
        <f>E51*F51</f>
        <v/>
      </c>
    </row>
    <row r="52" ht="15.75" customHeight="1">
      <c r="A52" s="4" t="inlineStr">
        <is>
          <t>10.00</t>
        </is>
      </c>
      <c r="B52" s="4" t="inlineStr">
        <is>
          <t>PRU</t>
        </is>
      </c>
      <c r="C52" s="5" t="inlineStr">
        <is>
          <t>PRUEBAS ELECTRICAS</t>
        </is>
      </c>
      <c r="D52" s="5" t="n"/>
      <c r="E52" s="5" t="n"/>
      <c r="F52" s="5" t="n"/>
      <c r="G52" s="5" t="n"/>
    </row>
    <row r="53" ht="15.75" customHeight="1">
      <c r="A53" s="6" t="inlineStr">
        <is>
          <t>10.01</t>
        </is>
      </c>
      <c r="B53" s="6" t="inlineStr">
        <is>
          <t>PRU-01</t>
        </is>
      </c>
      <c r="C53" s="7" t="inlineStr">
        <is>
          <t>Pruebas de aislamiento, continuidad de línea y resistencia de puesta a tierra</t>
        </is>
      </c>
      <c r="D53" s="6" t="inlineStr">
        <is>
          <t>glb</t>
        </is>
      </c>
      <c r="E53" s="8" t="n">
        <v>1</v>
      </c>
      <c r="F53" s="9" t="n">
        <v>250</v>
      </c>
      <c r="G53" s="9">
        <f>E53*F53</f>
        <v/>
      </c>
    </row>
    <row r="54" ht="15.75" customHeight="1">
      <c r="A54" s="4" t="inlineStr">
        <is>
          <t>11.00</t>
        </is>
      </c>
      <c r="B54" s="4" t="inlineStr">
        <is>
          <t>MOB</t>
        </is>
      </c>
      <c r="C54" s="5" t="inlineStr">
        <is>
          <t>MANO DE OBRA Y DIRECCION TECNICA</t>
        </is>
      </c>
      <c r="D54" s="5" t="n"/>
      <c r="E54" s="5" t="n"/>
      <c r="F54" s="5" t="n"/>
      <c r="G54" s="5" t="n"/>
    </row>
    <row r="55" ht="15.75" customHeight="1">
      <c r="A55" s="6" t="inlineStr">
        <is>
          <t>11.01</t>
        </is>
      </c>
      <c r="B55" s="6" t="inlineStr">
        <is>
          <t>MOB-01</t>
        </is>
      </c>
      <c r="C55" s="7" t="inlineStr">
        <is>
          <t>Mano de obra calificada (Instalación general)</t>
        </is>
      </c>
      <c r="D55" s="6" t="inlineStr">
        <is>
          <t>glb</t>
        </is>
      </c>
      <c r="E55" s="8" t="n">
        <v>1</v>
      </c>
      <c r="F55" s="9" t="n">
        <v>3200</v>
      </c>
      <c r="G55" s="9">
        <f>E55*F55</f>
        <v/>
      </c>
    </row>
    <row r="57">
      <c r="A57" s="11" t="inlineStr">
        <is>
          <t>RESUMEN DE PRESUPUESTO</t>
        </is>
      </c>
    </row>
    <row r="58">
      <c r="A58" s="3" t="inlineStr">
        <is>
          <t>Partida</t>
        </is>
      </c>
      <c r="B58" s="12" t="n"/>
      <c r="C58" s="13" t="inlineStr">
        <is>
          <t>Total (S/.)</t>
        </is>
      </c>
      <c r="D58" s="12" t="n"/>
      <c r="E58" s="12" t="n"/>
      <c r="F58" s="12" t="n"/>
      <c r="G58" s="12" t="n"/>
    </row>
    <row r="59" ht="15.75" customHeight="1">
      <c r="A59" s="7" t="inlineStr">
        <is>
          <t>01. Conexion a la Red Externa</t>
        </is>
      </c>
      <c r="B59" s="12" t="n"/>
      <c r="C59" s="9">
        <f>SUM(G7:G7)</f>
        <v/>
      </c>
      <c r="D59" s="12" t="n"/>
      <c r="E59" s="12" t="n"/>
      <c r="F59" s="12" t="n"/>
      <c r="G59" s="12" t="n"/>
    </row>
    <row r="60" ht="15.75" customHeight="1">
      <c r="A60" s="7" t="inlineStr">
        <is>
          <t>02. Tuberias y Canalizaciones</t>
        </is>
      </c>
      <c r="B60" s="12" t="n"/>
      <c r="C60" s="9">
        <f>SUM(G9:G15)</f>
        <v/>
      </c>
      <c r="D60" s="12" t="n"/>
      <c r="E60" s="12" t="n"/>
      <c r="F60" s="12" t="n"/>
      <c r="G60" s="12" t="n"/>
    </row>
    <row r="61" ht="15.75" customHeight="1">
      <c r="A61" s="7" t="inlineStr">
        <is>
          <t>03. Conductores y Cables</t>
        </is>
      </c>
      <c r="B61" s="12" t="n"/>
      <c r="C61" s="9">
        <f>SUM(G17:G23)</f>
        <v/>
      </c>
      <c r="D61" s="12" t="n"/>
      <c r="E61" s="12" t="n"/>
      <c r="F61" s="12" t="n"/>
      <c r="G61" s="12" t="n"/>
    </row>
    <row r="62" ht="15.75" customHeight="1">
      <c r="A62" s="7" t="inlineStr">
        <is>
          <t>04. Cajas de Pase y Salida</t>
        </is>
      </c>
      <c r="B62" s="12" t="n"/>
      <c r="C62" s="9">
        <f>SUM(G25:G30)</f>
        <v/>
      </c>
      <c r="D62" s="12" t="n"/>
      <c r="E62" s="12" t="n"/>
      <c r="F62" s="12" t="n"/>
      <c r="G62" s="12" t="n"/>
    </row>
    <row r="63" ht="15.75" customHeight="1">
      <c r="A63" s="7" t="inlineStr">
        <is>
          <t>05. Tableros de Distribucion</t>
        </is>
      </c>
      <c r="B63" s="12" t="n"/>
      <c r="C63" s="9">
        <f>SUM(G32:G34)</f>
        <v/>
      </c>
      <c r="D63" s="12" t="n"/>
      <c r="E63" s="12" t="n"/>
      <c r="F63" s="12" t="n"/>
      <c r="G63" s="12" t="n"/>
    </row>
    <row r="64" ht="15.75" customHeight="1">
      <c r="A64" s="7" t="inlineStr">
        <is>
          <t>06. Accesorios y Protecciones</t>
        </is>
      </c>
      <c r="B64" s="12" t="n"/>
      <c r="C64" s="9">
        <f>SUM(G36:G45)</f>
        <v/>
      </c>
      <c r="D64" s="12" t="n"/>
      <c r="E64" s="12" t="n"/>
      <c r="F64" s="12" t="n"/>
      <c r="G64" s="12" t="n"/>
    </row>
    <row r="65" ht="15.75" customHeight="1">
      <c r="A65" s="7" t="inlineStr">
        <is>
          <t>07. Sistema de Puesta a Tierra</t>
        </is>
      </c>
      <c r="B65" s="12" t="n"/>
      <c r="C65" s="9">
        <f>SUM(G47:G47)</f>
        <v/>
      </c>
      <c r="D65" s="12" t="n"/>
      <c r="E65" s="12" t="n"/>
      <c r="F65" s="12" t="n"/>
      <c r="G65" s="12" t="n"/>
    </row>
    <row r="66" ht="15.75" customHeight="1">
      <c r="A66" s="7" t="inlineStr">
        <is>
          <t>08. Artefactos de Alumbrado</t>
        </is>
      </c>
      <c r="B66" s="12" t="n"/>
      <c r="C66" s="9">
        <f>SUM(G49:G49)</f>
        <v/>
      </c>
      <c r="D66" s="12" t="n"/>
      <c r="E66" s="12" t="n"/>
      <c r="F66" s="12" t="n"/>
      <c r="G66" s="12" t="n"/>
    </row>
    <row r="67" ht="15.75" customHeight="1">
      <c r="A67" s="7" t="inlineStr">
        <is>
          <t>09. Equipos Electricos y Mecanicos</t>
        </is>
      </c>
      <c r="B67" s="12" t="n"/>
      <c r="C67" s="9">
        <f>SUM(G51:G51)</f>
        <v/>
      </c>
      <c r="D67" s="12" t="n"/>
      <c r="E67" s="12" t="n"/>
      <c r="F67" s="12" t="n"/>
      <c r="G67" s="12" t="n"/>
    </row>
    <row r="68" ht="15.75" customHeight="1">
      <c r="A68" s="7" t="inlineStr">
        <is>
          <t>10. Pruebas Electricas</t>
        </is>
      </c>
      <c r="B68" s="12" t="n"/>
      <c r="C68" s="9">
        <f>SUM(G53:G53)</f>
        <v/>
      </c>
      <c r="D68" s="12" t="n"/>
      <c r="E68" s="12" t="n"/>
      <c r="F68" s="12" t="n"/>
      <c r="G68" s="12" t="n"/>
    </row>
    <row r="69" ht="15.75" customHeight="1">
      <c r="A69" s="7" t="inlineStr">
        <is>
          <t>11. Mano de Obra y Direccion Tecnica</t>
        </is>
      </c>
      <c r="B69" s="12" t="n"/>
      <c r="C69" s="9">
        <f>SUM(G55:G55)</f>
        <v/>
      </c>
      <c r="D69" s="12" t="n"/>
      <c r="E69" s="12" t="n"/>
      <c r="F69" s="12" t="n"/>
      <c r="G69" s="12" t="n"/>
    </row>
    <row r="71" ht="15.75" customHeight="1">
      <c r="A71" s="14" t="inlineStr">
        <is>
          <t>TOTAL COSTO DIRECTO</t>
        </is>
      </c>
      <c r="B71" s="12" t="n"/>
      <c r="C71" s="15">
        <f>SUM(C59:C69)</f>
        <v/>
      </c>
      <c r="D71" s="12" t="n"/>
      <c r="E71" s="12" t="n"/>
      <c r="F71" s="12" t="n"/>
      <c r="G71" s="12" t="n"/>
    </row>
    <row r="72" ht="15.75" customHeight="1">
      <c r="A72" s="16" t="inlineStr">
        <is>
          <t>Gastos Generales (5%)</t>
        </is>
      </c>
      <c r="B72" s="12" t="n"/>
      <c r="C72" s="9">
        <f>ROUND(C71*0.05, 2)</f>
        <v/>
      </c>
      <c r="D72" s="12" t="n"/>
      <c r="E72" s="12" t="n"/>
      <c r="F72" s="12" t="n"/>
      <c r="G72" s="12" t="n"/>
    </row>
    <row r="73" ht="15.75" customHeight="1">
      <c r="A73" s="16" t="inlineStr">
        <is>
          <t>Utilidad (8%)</t>
        </is>
      </c>
      <c r="B73" s="12" t="n"/>
      <c r="C73" s="9">
        <f>ROUND(C71*0.08, 2)</f>
        <v/>
      </c>
      <c r="D73" s="12" t="n"/>
      <c r="E73" s="12" t="n"/>
      <c r="F73" s="12" t="n"/>
      <c r="G73" s="12" t="n"/>
    </row>
    <row r="74" ht="15.75" customHeight="1">
      <c r="A74" s="14" t="inlineStr">
        <is>
          <t>SUBTOTAL ANTES IGV</t>
        </is>
      </c>
      <c r="B74" s="12" t="n"/>
      <c r="C74" s="15">
        <f>SUM(C71:C73)</f>
        <v/>
      </c>
      <c r="D74" s="12" t="n"/>
      <c r="E74" s="12" t="n"/>
      <c r="F74" s="12" t="n"/>
      <c r="G74" s="12" t="n"/>
    </row>
    <row r="75" ht="15.75" customHeight="1">
      <c r="A75" s="16" t="inlineStr">
        <is>
          <t>IGV (18%)</t>
        </is>
      </c>
      <c r="B75" s="12" t="n"/>
      <c r="C75" s="9">
        <f>ROUND(C74*0.18, 2)</f>
        <v/>
      </c>
      <c r="D75" s="12" t="n"/>
      <c r="E75" s="12" t="n"/>
      <c r="F75" s="12" t="n"/>
      <c r="G75" s="12" t="n"/>
    </row>
    <row r="76" ht="15.75" customHeight="1">
      <c r="A76" s="17" t="inlineStr">
        <is>
          <t>TOTAL GENERAL (S/.)</t>
        </is>
      </c>
      <c r="B76" s="18" t="n"/>
      <c r="C76" s="19">
        <f>C74+C75</f>
        <v/>
      </c>
      <c r="D76" s="18" t="n"/>
      <c r="E76" s="18" t="n"/>
      <c r="F76" s="18" t="n"/>
      <c r="G7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2026-06-08T19:38:24Z</dcterms:created>
  <dcterms:modified xmlns:dcterms="http://purl.org/dc/terms/" xmlns:xsi="http://www.w3.org/2001/XMLSchema-instance" xsi:type="dcterms:W3CDTF">2026-06-08T19:38:24Z</dcterms:modified>
</cp:coreProperties>
</file>