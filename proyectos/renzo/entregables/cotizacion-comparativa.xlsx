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zo\instalacion-electricas\proyecto_vivienda_unifamiliar_por_RENZO\cotizaciones\"/>
    </mc:Choice>
  </mc:AlternateContent>
  <xr:revisionPtr revIDLastSave="0" documentId="13_ncr:1_{E26F15E7-5BDA-408D-BBB4-625FC716B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a Provee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M19" i="1" s="1"/>
  <c r="K18" i="1"/>
  <c r="M18" i="1" s="1"/>
  <c r="K17" i="1"/>
  <c r="L17" i="1" s="1"/>
  <c r="K16" i="1"/>
  <c r="M16" i="1" s="1"/>
  <c r="K15" i="1"/>
  <c r="M15" i="1" s="1"/>
  <c r="K14" i="1"/>
  <c r="M14" i="1" s="1"/>
  <c r="K13" i="1"/>
  <c r="L13" i="1" s="1"/>
  <c r="K12" i="1"/>
  <c r="M12" i="1" s="1"/>
  <c r="K11" i="1"/>
  <c r="M11" i="1" s="1"/>
  <c r="K10" i="1"/>
  <c r="M10" i="1" s="1"/>
  <c r="K9" i="1"/>
  <c r="L9" i="1" s="1"/>
  <c r="K8" i="1"/>
  <c r="M8" i="1" s="1"/>
  <c r="K7" i="1"/>
  <c r="M7" i="1" s="1"/>
  <c r="K6" i="1"/>
  <c r="M6" i="1" s="1"/>
  <c r="K5" i="1"/>
  <c r="L5" i="1" s="1"/>
  <c r="M5" i="1" l="1"/>
  <c r="M9" i="1"/>
  <c r="M13" i="1"/>
  <c r="M17" i="1"/>
  <c r="L18" i="1"/>
  <c r="L6" i="1"/>
  <c r="L10" i="1"/>
  <c r="L14" i="1"/>
  <c r="L7" i="1"/>
  <c r="L11" i="1"/>
  <c r="L15" i="1"/>
  <c r="L19" i="1"/>
  <c r="L8" i="1"/>
  <c r="L12" i="1"/>
  <c r="L16" i="1"/>
  <c r="M21" i="1" l="1"/>
  <c r="M22" i="1" s="1"/>
  <c r="M23" i="1" s="1"/>
  <c r="M24" i="1" l="1"/>
  <c r="M25" i="1" s="1"/>
</calcChain>
</file>

<file path=xl/sharedStrings.xml><?xml version="1.0" encoding="utf-8"?>
<sst xmlns="http://schemas.openxmlformats.org/spreadsheetml/2006/main" count="80" uniqueCount="52">
  <si>
    <t>PRESUPUESTO COMPARATIVO DE PROVEEDORES - PROYECTO RENZO</t>
  </si>
  <si>
    <t>Propietario: Renzo Gabriel Mamani Galindo  |  Curso: Instalaciones Eléctricas I  |  Fecha: 2026-06-08</t>
  </si>
  <si>
    <t>Item</t>
  </si>
  <si>
    <t>Descripcion del Material</t>
  </si>
  <si>
    <t>Marca</t>
  </si>
  <si>
    <t>Norma Tecnica</t>
  </si>
  <si>
    <t>Unidad</t>
  </si>
  <si>
    <t>Cant</t>
  </si>
  <si>
    <t>Sodimac (S/)</t>
  </si>
  <si>
    <t>Promart (S/)</t>
  </si>
  <si>
    <t>MercadoLibre (S/)</t>
  </si>
  <si>
    <t>Maestro (S/)</t>
  </si>
  <si>
    <t>Mejor Precio (S/)</t>
  </si>
  <si>
    <t>Mejor Proveedor</t>
  </si>
  <si>
    <t>Subtotal (S/)</t>
  </si>
  <si>
    <t>Cable TW THW 10 mm2 (Alimentador / Tierra)</t>
  </si>
  <si>
    <t>Indeco</t>
  </si>
  <si>
    <t>NTP-IEC 60228</t>
  </si>
  <si>
    <t>m</t>
  </si>
  <si>
    <t>Cable TW THW 1.5 mm2 (Alumbrado)</t>
  </si>
  <si>
    <t>Cable TW THW 2.5 mm2 (Tomacorrientes)</t>
  </si>
  <si>
    <t>Tubo PVC SAP 32 mm</t>
  </si>
  <si>
    <t>Pavco Wavin</t>
  </si>
  <si>
    <t>NTP 399.006</t>
  </si>
  <si>
    <t>Tubo PVC SAP 20 mm</t>
  </si>
  <si>
    <t>ITM 2P-40A (Interruptor General)</t>
  </si>
  <si>
    <t>Bticino</t>
  </si>
  <si>
    <t>NTP-IEC 60898-1</t>
  </si>
  <si>
    <t>und</t>
  </si>
  <si>
    <t>ITM 2P-10A (Alumbrado)</t>
  </si>
  <si>
    <t>ITM 2P-16A (Tomacorrientes)</t>
  </si>
  <si>
    <t>ITM 2P-20A (Cocina)</t>
  </si>
  <si>
    <t>Interruptor diferencial 2P-40A-30mA</t>
  </si>
  <si>
    <t>Schneider Electric</t>
  </si>
  <si>
    <t>NTP-IEC 61008-1</t>
  </si>
  <si>
    <t>Interruptor diferencial 2P-25A-30mA</t>
  </si>
  <si>
    <t>Tablero general para 8 circuitos</t>
  </si>
  <si>
    <t>IEC 61439</t>
  </si>
  <si>
    <t>Caja rectangular/octogonal FG</t>
  </si>
  <si>
    <t>Krosch</t>
  </si>
  <si>
    <t>NTP 370.054</t>
  </si>
  <si>
    <t>Varilla de puesta a tierra 5/8 x 2.4 m</t>
  </si>
  <si>
    <t>Jesa</t>
  </si>
  <si>
    <t>NTP 370.056</t>
  </si>
  <si>
    <t>Cinta de aislar electrica</t>
  </si>
  <si>
    <t>3M</t>
  </si>
  <si>
    <t>ASTM D3000</t>
  </si>
  <si>
    <t>Total Materiales:</t>
  </si>
  <si>
    <t>Mano de Obra (40%):</t>
  </si>
  <si>
    <t>Subtotal General:</t>
  </si>
  <si>
    <t>IGV (18%):</t>
  </si>
  <si>
    <t>TOTAL GENERAL: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</si>
</sst>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4A556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2" xfId="0" applyNumberFormat="1" applyFont="1" applyBorder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5" fillId="4" borderId="0" xfId="0" applyFont="1" applyFill="1" applyAlignment="1">
      <alignment horizontal="right"/>
    </xf>
    <xf numFmtId="164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I1" sqref="I1"/>
    </sheetView>
  </sheetViews>
  <sheetFormatPr baseColWidth="10" defaultColWidth="8.88671875" defaultRowHeight="14.4"/>
  <cols>
    <col min="1" max="1" width="5" customWidth="1"/>
    <col min="2" max="2" width="30" customWidth="1"/>
    <col min="3" max="3" width="15" customWidth="1"/>
    <col min="4" max="4" width="24" customWidth="1"/>
    <col min="5" max="6" width="6" customWidth="1"/>
    <col min="7" max="8" width="15" customWidth="1"/>
    <col min="9" max="9" width="20" customWidth="1"/>
    <col min="10" max="10" width="15" customWidth="1"/>
    <col min="11" max="11" width="20" customWidth="1"/>
    <col min="12" max="12" width="106" customWidth="1"/>
    <col min="13" max="13" width="16" customWidth="1"/>
  </cols>
  <sheetData>
    <row r="1" spans="1:13" ht="21">
      <c r="A1" s="1" t="s">
        <v>0</v>
      </c>
    </row>
    <row r="2" spans="1:13">
      <c r="A2" s="2" t="s">
        <v>1</v>
      </c>
    </row>
    <row r="4" spans="1:13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19.95" customHeight="1">
      <c r="A5" s="4">
        <v>1</v>
      </c>
      <c r="B5" s="5" t="s">
        <v>15</v>
      </c>
      <c r="C5" s="4" t="s">
        <v>16</v>
      </c>
      <c r="D5" s="5" t="s">
        <v>17</v>
      </c>
      <c r="E5" s="4" t="s">
        <v>18</v>
      </c>
      <c r="F5" s="6">
        <v>125</v>
      </c>
      <c r="G5" s="7">
        <v>14.8</v>
      </c>
      <c r="H5" s="7">
        <v>14.5</v>
      </c>
      <c r="I5" s="7">
        <v>16</v>
      </c>
      <c r="J5" s="7">
        <v>15</v>
      </c>
      <c r="K5" s="7">
        <f>MIN(G5:J5)</f>
        <v>14.5</v>
      </c>
      <c r="L5" s="4" t="str">
        <f>IF(K5=G5,"Sodimac",IF(K5=H5,"Promart",IF(K5=I5,"Mercado Libre",IF(K5=J5,"Maestro","Google"))))</f>
        <v>Promart</v>
      </c>
      <c r="M5" s="7">
        <f>F5*K5</f>
        <v>1812.5</v>
      </c>
    </row>
    <row r="6" spans="1:13" ht="19.95" customHeight="1">
      <c r="A6" s="8">
        <v>2</v>
      </c>
      <c r="B6" s="9" t="s">
        <v>19</v>
      </c>
      <c r="C6" s="8" t="s">
        <v>16</v>
      </c>
      <c r="D6" s="9" t="s">
        <v>17</v>
      </c>
      <c r="E6" s="8" t="s">
        <v>18</v>
      </c>
      <c r="F6" s="10">
        <v>150</v>
      </c>
      <c r="G6" s="11">
        <v>1.7</v>
      </c>
      <c r="H6" s="11">
        <v>1.65</v>
      </c>
      <c r="I6" s="11">
        <v>1.9</v>
      </c>
      <c r="J6" s="11">
        <v>1.75</v>
      </c>
      <c r="K6" s="11">
        <f>MIN(G6:J6)</f>
        <v>1.65</v>
      </c>
      <c r="L6" s="8" t="str">
        <f>IF(K6=G6,"Sodimac",IF(K6=H6,"Promart",IF(K6=I6,"Mercado Libre",IF(K6=J6,"Maestro","Google"))))</f>
        <v>Promart</v>
      </c>
      <c r="M6" s="11">
        <f>F6*K6</f>
        <v>247.5</v>
      </c>
    </row>
    <row r="7" spans="1:13" ht="19.95" customHeight="1">
      <c r="A7" s="4">
        <v>3</v>
      </c>
      <c r="B7" s="5" t="s">
        <v>20</v>
      </c>
      <c r="C7" s="4" t="s">
        <v>16</v>
      </c>
      <c r="D7" s="5" t="s">
        <v>17</v>
      </c>
      <c r="E7" s="4" t="s">
        <v>18</v>
      </c>
      <c r="F7" s="6">
        <v>220</v>
      </c>
      <c r="G7" s="7">
        <v>2.6</v>
      </c>
      <c r="H7" s="7">
        <v>2.5499999999999998</v>
      </c>
      <c r="I7" s="7">
        <v>2.9</v>
      </c>
      <c r="J7" s="7">
        <v>2.65</v>
      </c>
      <c r="K7" s="7">
        <f>MIN(G7:J7)</f>
        <v>2.5499999999999998</v>
      </c>
      <c r="L7" s="4" t="str">
        <f>IF(K7=G7,"Sodimac",IF(K7=H7,"Promart",IF(K7=I7,"Mercado Libre",IF(K7=J7,"Maestro","Google"))))</f>
        <v>Promart</v>
      </c>
      <c r="M7" s="7">
        <f>F7*K7</f>
        <v>561</v>
      </c>
    </row>
    <row r="8" spans="1:13" ht="19.95" customHeight="1">
      <c r="A8" s="8">
        <v>4</v>
      </c>
      <c r="B8" s="9" t="s">
        <v>21</v>
      </c>
      <c r="C8" s="8" t="s">
        <v>22</v>
      </c>
      <c r="D8" s="9" t="s">
        <v>23</v>
      </c>
      <c r="E8" s="8" t="s">
        <v>18</v>
      </c>
      <c r="F8" s="10">
        <v>25</v>
      </c>
      <c r="G8" s="11">
        <v>6.8</v>
      </c>
      <c r="H8" s="11">
        <v>6.5</v>
      </c>
      <c r="I8" s="11">
        <v>7.5</v>
      </c>
      <c r="J8" s="11">
        <v>6.7</v>
      </c>
      <c r="K8" s="11">
        <f>MIN(G8:J8)</f>
        <v>6.5</v>
      </c>
      <c r="L8" s="8" t="str">
        <f>IF(K8=G8,"Sodimac",IF(K8=H8,"Promart",IF(K8=I8,"Mercado Libre",IF(K8=J8,"Maestro","Google"))))</f>
        <v>Promart</v>
      </c>
      <c r="M8" s="11">
        <f>F8*K8</f>
        <v>162.5</v>
      </c>
    </row>
    <row r="9" spans="1:13" ht="19.95" customHeight="1">
      <c r="A9" s="4">
        <v>5</v>
      </c>
      <c r="B9" s="5" t="s">
        <v>24</v>
      </c>
      <c r="C9" s="4" t="s">
        <v>22</v>
      </c>
      <c r="D9" s="5" t="s">
        <v>23</v>
      </c>
      <c r="E9" s="4" t="s">
        <v>18</v>
      </c>
      <c r="F9" s="6">
        <v>185</v>
      </c>
      <c r="G9" s="7">
        <v>2.2999999999999998</v>
      </c>
      <c r="H9" s="7">
        <v>2.25</v>
      </c>
      <c r="I9" s="7">
        <v>2.8</v>
      </c>
      <c r="J9" s="7">
        <v>2.35</v>
      </c>
      <c r="K9" s="7">
        <f>MIN(G9:J9)</f>
        <v>2.25</v>
      </c>
      <c r="L9" s="4" t="str">
        <f>IF(K9=G9,"Sodimac",IF(K9=H9,"Promart",IF(K9=I9,"Mercado Libre",IF(K9=J9,"Maestro","Google"))))</f>
        <v>Promart</v>
      </c>
      <c r="M9" s="7">
        <f>F9*K9</f>
        <v>416.25</v>
      </c>
    </row>
    <row r="10" spans="1:13" ht="19.95" customHeight="1">
      <c r="A10" s="8">
        <v>6</v>
      </c>
      <c r="B10" s="9" t="s">
        <v>25</v>
      </c>
      <c r="C10" s="8" t="s">
        <v>26</v>
      </c>
      <c r="D10" s="9" t="s">
        <v>27</v>
      </c>
      <c r="E10" s="8" t="s">
        <v>28</v>
      </c>
      <c r="F10" s="10">
        <v>1</v>
      </c>
      <c r="G10" s="11">
        <v>45.9</v>
      </c>
      <c r="H10" s="11">
        <v>42.9</v>
      </c>
      <c r="I10" s="11">
        <v>49</v>
      </c>
      <c r="J10" s="11">
        <v>46.5</v>
      </c>
      <c r="K10" s="11">
        <f>MIN(G10:J10)</f>
        <v>42.9</v>
      </c>
      <c r="L10" s="8" t="str">
        <f>IF(K10=G10,"Sodimac",IF(K10=H10,"Promart",IF(K10=I10,"Mercado Libre",IF(K10=J10,"Maestro","Google"))))</f>
        <v>Promart</v>
      </c>
      <c r="M10" s="11">
        <f>F10*K10</f>
        <v>42.9</v>
      </c>
    </row>
    <row r="11" spans="1:13" ht="19.95" customHeight="1">
      <c r="A11" s="4">
        <v>7</v>
      </c>
      <c r="B11" s="5" t="s">
        <v>29</v>
      </c>
      <c r="C11" s="4" t="s">
        <v>26</v>
      </c>
      <c r="D11" s="5" t="s">
        <v>27</v>
      </c>
      <c r="E11" s="4" t="s">
        <v>28</v>
      </c>
      <c r="F11" s="6">
        <v>3</v>
      </c>
      <c r="G11" s="7">
        <v>38.5</v>
      </c>
      <c r="H11" s="7">
        <v>39.9</v>
      </c>
      <c r="I11" s="7">
        <v>42</v>
      </c>
      <c r="J11" s="7">
        <v>39</v>
      </c>
      <c r="K11" s="7">
        <f>MIN(G11:J11)</f>
        <v>38.5</v>
      </c>
      <c r="L11" s="4" t="str">
        <f>IF(K11=G11,"Sodimac",IF(K11=H11,"Promart",IF(K11=I11,"Mercado Libre",IF(K11=J11,"Maestro","Google"))))</f>
        <v>Sodimac</v>
      </c>
      <c r="M11" s="7">
        <f>F11*K11</f>
        <v>115.5</v>
      </c>
    </row>
    <row r="12" spans="1:13" ht="19.95" customHeight="1">
      <c r="A12" s="8">
        <v>8</v>
      </c>
      <c r="B12" s="9" t="s">
        <v>30</v>
      </c>
      <c r="C12" s="8" t="s">
        <v>26</v>
      </c>
      <c r="D12" s="9" t="s">
        <v>27</v>
      </c>
      <c r="E12" s="8" t="s">
        <v>28</v>
      </c>
      <c r="F12" s="10">
        <v>3</v>
      </c>
      <c r="G12" s="11">
        <v>39.9</v>
      </c>
      <c r="H12" s="11">
        <v>39</v>
      </c>
      <c r="I12" s="11">
        <v>45</v>
      </c>
      <c r="J12" s="11">
        <v>40.5</v>
      </c>
      <c r="K12" s="11">
        <f>MIN(G12:J12)</f>
        <v>39</v>
      </c>
      <c r="L12" s="8" t="str">
        <f>IF(K12=G12,"Sodimac",IF(K12=H12,"Promart",IF(K12=I12,"Mercado Libre",IF(K12=J12,"Maestro","Google"))))</f>
        <v>Promart</v>
      </c>
      <c r="M12" s="11">
        <f>F12*K12</f>
        <v>117</v>
      </c>
    </row>
    <row r="13" spans="1:13" ht="19.95" customHeight="1">
      <c r="A13" s="4">
        <v>9</v>
      </c>
      <c r="B13" s="5" t="s">
        <v>31</v>
      </c>
      <c r="C13" s="4" t="s">
        <v>26</v>
      </c>
      <c r="D13" s="5" t="s">
        <v>27</v>
      </c>
      <c r="E13" s="4" t="s">
        <v>28</v>
      </c>
      <c r="F13" s="6">
        <v>1</v>
      </c>
      <c r="G13" s="7">
        <v>42.5</v>
      </c>
      <c r="H13" s="7">
        <v>39.9</v>
      </c>
      <c r="I13" s="7">
        <v>48</v>
      </c>
      <c r="J13" s="7">
        <v>43</v>
      </c>
      <c r="K13" s="7">
        <f>MIN(G13:J13)</f>
        <v>39.9</v>
      </c>
      <c r="L13" s="4" t="str">
        <f>IF(K13=G13,"Sodimac",IF(K13=H13,"Promart",IF(K13=I13,"Mercado Libre",IF(K13=J13,"Maestro","Google"))))</f>
        <v>Promart</v>
      </c>
      <c r="M13" s="7">
        <f>F13*K13</f>
        <v>39.9</v>
      </c>
    </row>
    <row r="14" spans="1:13" ht="19.95" customHeight="1">
      <c r="A14" s="8">
        <v>10</v>
      </c>
      <c r="B14" s="9" t="s">
        <v>32</v>
      </c>
      <c r="C14" s="8" t="s">
        <v>33</v>
      </c>
      <c r="D14" s="9" t="s">
        <v>34</v>
      </c>
      <c r="E14" s="8" t="s">
        <v>28</v>
      </c>
      <c r="F14" s="10">
        <v>1</v>
      </c>
      <c r="G14" s="11">
        <v>160.6</v>
      </c>
      <c r="H14" s="11">
        <v>179</v>
      </c>
      <c r="I14" s="11">
        <v>165</v>
      </c>
      <c r="J14" s="11">
        <v>162</v>
      </c>
      <c r="K14" s="11">
        <f>MIN(G14:J14)</f>
        <v>160.6</v>
      </c>
      <c r="L14" s="8" t="str">
        <f>IF(K14=G14,"Sodimac",IF(K14=H14,"Promart",IF(K14=I14,"Mercado Libre",IF(K14=J14,"Maestro","Google"))))</f>
        <v>Sodimac</v>
      </c>
      <c r="M14" s="11">
        <f>F14*K14</f>
        <v>160.6</v>
      </c>
    </row>
    <row r="15" spans="1:13" ht="19.95" customHeight="1">
      <c r="A15" s="4">
        <v>11</v>
      </c>
      <c r="B15" s="5" t="s">
        <v>35</v>
      </c>
      <c r="C15" s="4" t="s">
        <v>33</v>
      </c>
      <c r="D15" s="5" t="s">
        <v>34</v>
      </c>
      <c r="E15" s="4" t="s">
        <v>28</v>
      </c>
      <c r="F15" s="6">
        <v>4</v>
      </c>
      <c r="G15" s="7">
        <v>148</v>
      </c>
      <c r="H15" s="7">
        <v>145</v>
      </c>
      <c r="I15" s="7">
        <v>155</v>
      </c>
      <c r="J15" s="7">
        <v>149</v>
      </c>
      <c r="K15" s="7">
        <f>MIN(G15:J15)</f>
        <v>145</v>
      </c>
      <c r="L15" s="4" t="str">
        <f>IF(K15=G15,"Sodimac",IF(K15=H15,"Promart",IF(K15=I15,"Mercado Libre",IF(K15=J15,"Maestro","Google"))))</f>
        <v>Promart</v>
      </c>
      <c r="M15" s="7">
        <f>F15*K15</f>
        <v>580</v>
      </c>
    </row>
    <row r="16" spans="1:13" ht="19.95" customHeight="1">
      <c r="A16" s="8">
        <v>12</v>
      </c>
      <c r="B16" s="9" t="s">
        <v>36</v>
      </c>
      <c r="C16" s="8" t="s">
        <v>26</v>
      </c>
      <c r="D16" s="9" t="s">
        <v>37</v>
      </c>
      <c r="E16" s="8" t="s">
        <v>28</v>
      </c>
      <c r="F16" s="10">
        <v>1</v>
      </c>
      <c r="G16" s="11">
        <v>79.900000000000006</v>
      </c>
      <c r="H16" s="11">
        <v>75</v>
      </c>
      <c r="I16" s="11">
        <v>85</v>
      </c>
      <c r="J16" s="11">
        <v>81</v>
      </c>
      <c r="K16" s="11">
        <f>MIN(G16:J16)</f>
        <v>75</v>
      </c>
      <c r="L16" s="8" t="str">
        <f>IF(K16=G16,"Sodimac",IF(K16=H16,"Promart",IF(K16=I16,"Mercado Libre",IF(K16=J16,"Maestro","Google"))))</f>
        <v>Promart</v>
      </c>
      <c r="M16" s="11">
        <f>F16*K16</f>
        <v>75</v>
      </c>
    </row>
    <row r="17" spans="1:13" ht="19.95" customHeight="1">
      <c r="A17" s="4">
        <v>13</v>
      </c>
      <c r="B17" s="5" t="s">
        <v>38</v>
      </c>
      <c r="C17" s="4" t="s">
        <v>39</v>
      </c>
      <c r="D17" s="5" t="s">
        <v>40</v>
      </c>
      <c r="E17" s="4" t="s">
        <v>28</v>
      </c>
      <c r="F17" s="6">
        <v>47</v>
      </c>
      <c r="G17" s="7">
        <v>3.8</v>
      </c>
      <c r="H17" s="7">
        <v>3.5</v>
      </c>
      <c r="I17" s="7">
        <v>4.5</v>
      </c>
      <c r="J17" s="7">
        <v>3.9</v>
      </c>
      <c r="K17" s="7">
        <f>MIN(G17:J17)</f>
        <v>3.5</v>
      </c>
      <c r="L17" s="4" t="str">
        <f>IF(K17=G17,"Sodimac",IF(K17=H17,"Promart",IF(K17=I17,"Mercado Libre",IF(K17=J17,"Maestro","Google"))))</f>
        <v>Promart</v>
      </c>
      <c r="M17" s="7">
        <f>F17*K17</f>
        <v>164.5</v>
      </c>
    </row>
    <row r="18" spans="1:13" ht="19.95" customHeight="1">
      <c r="A18" s="8">
        <v>14</v>
      </c>
      <c r="B18" s="9" t="s">
        <v>41</v>
      </c>
      <c r="C18" s="8" t="s">
        <v>42</v>
      </c>
      <c r="D18" s="9" t="s">
        <v>43</v>
      </c>
      <c r="E18" s="8" t="s">
        <v>28</v>
      </c>
      <c r="F18" s="10">
        <v>1</v>
      </c>
      <c r="G18" s="11">
        <v>139</v>
      </c>
      <c r="H18" s="11">
        <v>135</v>
      </c>
      <c r="I18" s="11">
        <v>145</v>
      </c>
      <c r="J18" s="11">
        <v>140</v>
      </c>
      <c r="K18" s="11">
        <f>MIN(G18:J18)</f>
        <v>135</v>
      </c>
      <c r="L18" s="8" t="str">
        <f>IF(K18=G18,"Sodimac",IF(K18=H18,"Promart",IF(K18=I18,"Mercado Libre",IF(K18=J18,"Maestro","Google"))))</f>
        <v>Promart</v>
      </c>
      <c r="M18" s="11">
        <f>F18*K18</f>
        <v>135</v>
      </c>
    </row>
    <row r="19" spans="1:13" ht="19.95" customHeight="1">
      <c r="A19" s="4">
        <v>15</v>
      </c>
      <c r="B19" s="5" t="s">
        <v>44</v>
      </c>
      <c r="C19" s="4" t="s">
        <v>45</v>
      </c>
      <c r="D19" s="5" t="s">
        <v>46</v>
      </c>
      <c r="E19" s="4" t="s">
        <v>28</v>
      </c>
      <c r="F19" s="6">
        <v>5</v>
      </c>
      <c r="G19" s="7">
        <v>7.8</v>
      </c>
      <c r="H19" s="7">
        <v>7.5</v>
      </c>
      <c r="I19" s="7">
        <v>9</v>
      </c>
      <c r="J19" s="7">
        <v>8</v>
      </c>
      <c r="K19" s="7">
        <f>MIN(G19:J19)</f>
        <v>7.5</v>
      </c>
      <c r="L19" s="4" t="str">
        <f>IF(K19=G19,"Sodimac",IF(K19=H19,"Promart",IF(K19=I19,"Mercado Libre",IF(K19=J19,"Maestro","Google"))))</f>
        <v>Promart</v>
      </c>
      <c r="M19" s="7">
        <f>F19*K19</f>
        <v>37.5</v>
      </c>
    </row>
    <row r="21" spans="1:13" ht="15" thickBot="1">
      <c r="L21" s="12" t="s">
        <v>47</v>
      </c>
      <c r="M21" s="13">
        <f>SUM(M5:M19)</f>
        <v>4667.6499999999996</v>
      </c>
    </row>
    <row r="22" spans="1:13" ht="15" thickTop="1">
      <c r="L22" s="14" t="s">
        <v>48</v>
      </c>
      <c r="M22" s="15">
        <f>M21*0.4</f>
        <v>1867.06</v>
      </c>
    </row>
    <row r="23" spans="1:13">
      <c r="L23" s="14" t="s">
        <v>49</v>
      </c>
      <c r="M23" s="15">
        <f>M21+M22</f>
        <v>6534.7099999999991</v>
      </c>
    </row>
    <row r="24" spans="1:13">
      <c r="L24" s="14" t="s">
        <v>50</v>
      </c>
      <c r="M24" s="15">
        <f>M23*0.18</f>
        <v>1176.2477999999999</v>
      </c>
    </row>
    <row r="25" spans="1:13" ht="15" thickBot="1">
      <c r="L25" s="16" t="s">
        <v>51</v>
      </c>
      <c r="M25" s="17">
        <f>M23+M24</f>
        <v>7710.9577999999992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MAMANI GALLINDO</cp:lastModifiedBy>
  <dcterms:created xsi:type="dcterms:W3CDTF">2026-06-08T16:35:48Z</dcterms:created>
  <dcterms:modified xsi:type="dcterms:W3CDTF">2026-06-08T18:37:02Z</dcterms:modified>
</cp:coreProperties>
</file>