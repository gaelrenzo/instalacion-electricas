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áxima Demanda C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1E3A8A"/>
      <sz val="14"/>
    </font>
    <font>
      <name val="Segoe UI"/>
      <i val="1"/>
      <color rgb="004B5563"/>
      <sz val="11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  <color rgb="001E3A8A"/>
      <sz val="10"/>
    </font>
    <font>
      <name val="Segoe UI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3F4F6"/>
        <bgColor rgb="00F3F4F6"/>
      </patternFill>
    </fill>
    <fill>
      <patternFill patternType="solid">
        <fgColor rgb="003B82F6"/>
        <bgColor rgb="003B82F6"/>
      </patternFill>
    </fill>
    <fill>
      <patternFill patternType="solid">
        <fgColor rgb="00DCFCE7"/>
        <bgColor rgb="00DCFCE7"/>
      </patternFill>
    </fill>
  </fills>
  <borders count="7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top style="thin">
        <color rgb="00D1D5DB"/>
      </top>
      <bottom style="double">
        <color rgb="001E3A8A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3" borderId="1" applyAlignment="1" pivotButton="0" quotePrefix="0" xfId="0">
      <alignment horizontal="right" vertical="center"/>
    </xf>
    <xf numFmtId="2" fontId="4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right" vertical="center"/>
    </xf>
    <xf numFmtId="0" fontId="5" fillId="0" borderId="2" applyAlignment="1" pivotButton="0" quotePrefix="0" xfId="0">
      <alignment horizontal="left" vertical="center"/>
    </xf>
    <xf numFmtId="0" fontId="5" fillId="0" borderId="2" pivotButton="0" quotePrefix="0" xfId="0"/>
    <xf numFmtId="3" fontId="5" fillId="0" borderId="2" applyAlignment="1" pivotButton="0" quotePrefix="0" xfId="0">
      <alignment horizontal="right" vertical="center"/>
    </xf>
    <xf numFmtId="0" fontId="5" fillId="0" borderId="0" pivotButton="0" quotePrefix="0" xfId="0"/>
    <xf numFmtId="0" fontId="4" fillId="0" borderId="1" pivotButton="0" quotePrefix="0" xfId="0"/>
    <xf numFmtId="3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2" fontId="4" fillId="0" borderId="1" applyAlignment="1" pivotButton="0" quotePrefix="0" xfId="0">
      <alignment horizontal="right"/>
    </xf>
    <xf numFmtId="2" fontId="5" fillId="3" borderId="1" applyAlignment="1" pivotButton="0" quotePrefix="0" xfId="0">
      <alignment horizontal="right"/>
    </xf>
    <xf numFmtId="0" fontId="6" fillId="0" borderId="0" pivotButton="0" quotePrefix="0" xfId="0"/>
    <xf numFmtId="0" fontId="7" fillId="4" borderId="1" applyAlignment="1" pivotButton="0" quotePrefix="0" xfId="0">
      <alignment horizontal="center" vertical="center"/>
    </xf>
    <xf numFmtId="0" fontId="5" fillId="0" borderId="1" pivotButton="0" quotePrefix="0" xfId="0"/>
    <xf numFmtId="0" fontId="5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38" customWidth="1" min="2" max="2"/>
    <col width="18" customWidth="1" min="3" max="3"/>
    <col width="29" customWidth="1" min="4" max="4"/>
    <col width="26" customWidth="1" min="5" max="5"/>
    <col width="20" customWidth="1" min="6" max="6"/>
    <col width="35" customWidth="1" min="7" max="7"/>
  </cols>
  <sheetData>
    <row r="1" ht="30" customHeight="1">
      <c r="A1" s="1" t="inlineStr">
        <is>
          <t>CÁLCULO DE MÁXIMA DEMANDA - CNE UTILIZACIÓN</t>
        </is>
      </c>
    </row>
    <row r="2">
      <c r="A2" s="2" t="inlineStr">
        <is>
          <t>Método del Área Techada Total y Cargas Especiales (Regla 050-200)</t>
        </is>
      </c>
    </row>
    <row r="3"/>
    <row r="4" ht="28" customHeight="1">
      <c r="A4" s="3" t="inlineStr">
        <is>
          <t>Descripción de la Carga</t>
        </is>
      </c>
      <c r="B4" s="3" t="inlineStr">
        <is>
          <t>Base de Cálculo CNE</t>
        </is>
      </c>
      <c r="C4" s="3" t="inlineStr">
        <is>
          <t>Carga Inst. (W)</t>
        </is>
      </c>
      <c r="D4" s="3" t="inlineStr">
        <is>
          <t>F.D.</t>
        </is>
      </c>
      <c r="E4" s="3" t="inlineStr">
        <is>
          <t>Máx. Demanda (W)</t>
        </is>
      </c>
      <c r="F4" s="3" t="inlineStr">
        <is>
          <t>CNE Regla Ref.</t>
        </is>
      </c>
      <c r="G4" s="3" t="inlineStr">
        <is>
          <t>Detalle Técnico</t>
        </is>
      </c>
    </row>
    <row r="5" ht="20" customHeight="1">
      <c r="A5" s="4" t="inlineStr">
        <is>
          <t>Carga Básica - Área techada (Primeros 90 m²)</t>
        </is>
      </c>
      <c r="B5" s="4" t="inlineStr">
        <is>
          <t>40m² x 3 pisos = 120m² total</t>
        </is>
      </c>
      <c r="C5" s="5" t="n">
        <v>2500</v>
      </c>
      <c r="D5" s="6" t="n">
        <v>1</v>
      </c>
      <c r="E5" s="5" t="n">
        <v>2500</v>
      </c>
      <c r="F5" s="4" t="inlineStr">
        <is>
          <t>050-200(1)(a)(i)</t>
        </is>
      </c>
      <c r="G5" s="4" t="inlineStr">
        <is>
          <t>Primeros 90 m² de vivienda</t>
        </is>
      </c>
    </row>
    <row r="6" ht="20" customHeight="1">
      <c r="A6" s="7" t="inlineStr">
        <is>
          <t>Carga Adicional - Área techada (Siguientes 30 m²)</t>
        </is>
      </c>
      <c r="B6" s="7" t="inlineStr">
        <is>
          <t>Exceso sobre 90m² (fracción)</t>
        </is>
      </c>
      <c r="C6" s="8" t="n">
        <v>1000</v>
      </c>
      <c r="D6" s="9" t="n">
        <v>1</v>
      </c>
      <c r="E6" s="8" t="n">
        <v>1000</v>
      </c>
      <c r="F6" s="7" t="inlineStr">
        <is>
          <t>050-200(1)(a)(i)</t>
        </is>
      </c>
      <c r="G6" s="7" t="inlineStr">
        <is>
          <t>Siguientes 90 m² o fracción</t>
        </is>
      </c>
    </row>
    <row r="7" ht="20" customHeight="1">
      <c r="A7" s="4" t="inlineStr">
        <is>
          <t>Cocina Eléctrica (Artefactos Cocina)</t>
        </is>
      </c>
      <c r="B7" s="4" t="inlineStr">
        <is>
          <t>Circuito C3 - Tomacorrientes Cocina</t>
        </is>
      </c>
      <c r="C7" s="5" t="n">
        <v>1200</v>
      </c>
      <c r="D7" s="6" t="n">
        <v>0.8</v>
      </c>
      <c r="E7" s="5" t="n">
        <v>960</v>
      </c>
      <c r="F7" s="4" t="inlineStr">
        <is>
          <t>050-200(1)(a)(iv)</t>
        </is>
      </c>
      <c r="G7" s="4" t="inlineStr">
        <is>
          <t>Factor de demanda según uso</t>
        </is>
      </c>
    </row>
    <row r="8" ht="20" customHeight="1">
      <c r="A8" s="7" t="inlineStr">
        <is>
          <t>Lavandería y Servicio</t>
        </is>
      </c>
      <c r="B8" s="7" t="inlineStr">
        <is>
          <t>Circuito C4 - Lavadora y Servicio</t>
        </is>
      </c>
      <c r="C8" s="8" t="n">
        <v>360</v>
      </c>
      <c r="D8" s="9" t="n">
        <v>0.8</v>
      </c>
      <c r="E8" s="8" t="n">
        <v>288</v>
      </c>
      <c r="F8" s="7" t="inlineStr">
        <is>
          <t>050-200(1)(a)(ii)</t>
        </is>
      </c>
      <c r="G8" s="7" t="inlineStr">
        <is>
          <t>Factor de demanda según uso</t>
        </is>
      </c>
    </row>
    <row r="9" ht="20" customHeight="1">
      <c r="A9" s="4" t="inlineStr">
        <is>
          <t>Bomba de Agua (Carga Especial)</t>
        </is>
      </c>
      <c r="B9" s="4" t="inlineStr">
        <is>
          <t>Circuito C5 - Motor 1 HP</t>
        </is>
      </c>
      <c r="C9" s="5" t="n">
        <v>750</v>
      </c>
      <c r="D9" s="6" t="n">
        <v>1</v>
      </c>
      <c r="E9" s="5" t="n">
        <v>750</v>
      </c>
      <c r="F9" s="4" t="inlineStr">
        <is>
          <t>050-200(1)(a)(vi)</t>
        </is>
      </c>
      <c r="G9" s="4" t="inlineStr">
        <is>
          <t>Carga motor al 100% de la placa</t>
        </is>
      </c>
    </row>
    <row r="10" ht="22" customHeight="1">
      <c r="A10" s="10" t="inlineStr">
        <is>
          <t>TOTAL MÁXIMA DEMANDA CNE</t>
        </is>
      </c>
      <c r="B10" s="11" t="n"/>
      <c r="C10" s="12">
        <f>SUM(C5:C9)</f>
        <v/>
      </c>
      <c r="D10" s="11" t="n"/>
      <c r="E10" s="12">
        <f>SUM(E5:E9)</f>
        <v/>
      </c>
      <c r="F10" s="11" t="inlineStr"/>
      <c r="G10" s="10" t="inlineStr">
        <is>
          <t>Monofásico 220V, fp=0.90</t>
        </is>
      </c>
    </row>
    <row r="11"/>
    <row r="12">
      <c r="A12" s="13" t="inlineStr">
        <is>
          <t>CÁLCULO DE CORRIENTE DE DISEÑO</t>
        </is>
      </c>
    </row>
    <row r="13" ht="18" customHeight="1">
      <c r="A13" s="14" t="inlineStr">
        <is>
          <t>Máxima Demanda Total (Pdem)</t>
        </is>
      </c>
      <c r="B13" s="15">
        <f>E10</f>
        <v/>
      </c>
      <c r="C13" s="16" t="inlineStr">
        <is>
          <t>W</t>
        </is>
      </c>
      <c r="D13" s="14" t="inlineStr">
        <is>
          <t>Pdem de cálculo</t>
        </is>
      </c>
      <c r="E13" s="17" t="n"/>
      <c r="F13" s="17" t="n"/>
      <c r="G13" s="18" t="n"/>
    </row>
    <row r="14" ht="18" customHeight="1">
      <c r="A14" s="14" t="inlineStr">
        <is>
          <t>Tensión Nominal (V)</t>
        </is>
      </c>
      <c r="B14" s="15" t="n">
        <v>220</v>
      </c>
      <c r="C14" s="16" t="inlineStr">
        <is>
          <t>V</t>
        </is>
      </c>
      <c r="D14" s="14" t="inlineStr">
        <is>
          <t>Monofásico residencial</t>
        </is>
      </c>
      <c r="E14" s="17" t="n"/>
      <c r="F14" s="17" t="n"/>
      <c r="G14" s="18" t="n"/>
    </row>
    <row r="15" ht="18" customHeight="1">
      <c r="A15" s="14" t="inlineStr">
        <is>
          <t>Factor de Potencia (cos phi)</t>
        </is>
      </c>
      <c r="B15" s="19" t="n">
        <v>0.9</v>
      </c>
      <c r="C15" s="16" t="inlineStr"/>
      <c r="D15" s="14" t="inlineStr">
        <is>
          <t>Factor referencial CNE-U</t>
        </is>
      </c>
      <c r="E15" s="17" t="n"/>
      <c r="F15" s="17" t="n"/>
      <c r="G15" s="18" t="n"/>
    </row>
    <row r="16" ht="18" customHeight="1">
      <c r="A16" s="14" t="inlineStr">
        <is>
          <t>Corriente del Alimentador (Id)</t>
        </is>
      </c>
      <c r="B16" s="20">
        <f>B13/(B14*B15)</f>
        <v/>
      </c>
      <c r="C16" s="16" t="inlineStr">
        <is>
          <t>A</t>
        </is>
      </c>
      <c r="D16" s="14" t="inlineStr">
        <is>
          <t>Fórmula: Id = Pdem / (V * cos phi)</t>
        </is>
      </c>
      <c r="E16" s="17" t="n"/>
      <c r="F16" s="17" t="n"/>
      <c r="G16" s="18" t="n"/>
    </row>
    <row r="17" ht="18" customHeight="1">
      <c r="A17" s="14" t="inlineStr">
        <is>
          <t>Factor de Seguridad (1.25)</t>
        </is>
      </c>
      <c r="B17" s="19" t="n">
        <v>1.25</v>
      </c>
      <c r="C17" s="16" t="inlineStr"/>
      <c r="D17" s="14" t="inlineStr">
        <is>
          <t>Regla CNE 050-204(2) para conductor</t>
        </is>
      </c>
      <c r="E17" s="17" t="n"/>
      <c r="F17" s="17" t="n"/>
      <c r="G17" s="18" t="n"/>
    </row>
    <row r="18" ht="18" customHeight="1">
      <c r="A18" s="14" t="inlineStr">
        <is>
          <t>Corriente de Diseño (I_diseño)</t>
        </is>
      </c>
      <c r="B18" s="20">
        <f>B16*B17</f>
        <v/>
      </c>
      <c r="C18" s="16" t="inlineStr">
        <is>
          <t>A</t>
        </is>
      </c>
      <c r="D18" s="14" t="inlineStr">
        <is>
          <t>Corriente para dimensionar conductor</t>
        </is>
      </c>
      <c r="E18" s="17" t="n"/>
      <c r="F18" s="17" t="n"/>
      <c r="G18" s="18" t="n"/>
    </row>
    <row r="19"/>
    <row r="20">
      <c r="A20" s="21" t="inlineStr">
        <is>
          <t>SELECCIÓN DE CONDUCTOR Y PROTECCIÓN</t>
        </is>
      </c>
    </row>
    <row r="21" ht="22" customHeight="1">
      <c r="A21" s="22" t="inlineStr">
        <is>
          <t>Elemento</t>
        </is>
      </c>
      <c r="B21" s="22" t="inlineStr">
        <is>
          <t>Especificación Seleccionada</t>
        </is>
      </c>
      <c r="C21" s="18" t="n"/>
      <c r="D21" s="22" t="inlineStr">
        <is>
          <t>Capacidad Admisible (Iz)</t>
        </is>
      </c>
      <c r="E21" s="22" t="inlineStr">
        <is>
          <t>Caída de Tensión (dV %)</t>
        </is>
      </c>
      <c r="G21" s="22" t="inlineStr">
        <is>
          <t>Cumple CNE?</t>
        </is>
      </c>
    </row>
    <row r="22" ht="20" customHeight="1">
      <c r="A22" s="14" t="inlineStr">
        <is>
          <t>Conductor Alimentador</t>
        </is>
      </c>
      <c r="B22" s="23" t="inlineStr">
        <is>
          <t>2 x 10 mm² LSOH + 10 mm² (T)</t>
        </is>
      </c>
      <c r="C22" s="18" t="n"/>
      <c r="D22" s="14" t="inlineStr">
        <is>
          <t>75 A (al aire, ducto ~50A)</t>
        </is>
      </c>
      <c r="E22" s="16" t="inlineStr">
        <is>
          <t>0.85% (L = 12m)</t>
        </is>
      </c>
      <c r="G22" s="24" t="inlineStr">
        <is>
          <t>Sí (CNE-U &lt; 2.5%)</t>
        </is>
      </c>
    </row>
    <row r="23" ht="20" customHeight="1">
      <c r="A23" s="14" t="inlineStr">
        <is>
          <t>Interruptor General (Termomagnético)</t>
        </is>
      </c>
      <c r="B23" s="23" t="inlineStr">
        <is>
          <t>2P - 40 A, Curva C (Residencial)</t>
        </is>
      </c>
      <c r="C23" s="18" t="n"/>
      <c r="D23" s="14" t="inlineStr">
        <is>
          <t>Capacidad ruptura 10 kA</t>
        </is>
      </c>
      <c r="E23" s="16" t="inlineStr">
        <is>
          <t>-</t>
        </is>
      </c>
      <c r="G23" s="24" t="inlineStr">
        <is>
          <t>Sí (coordinación Ib &lt;= In &lt;= Iz)</t>
        </is>
      </c>
    </row>
    <row r="24" ht="20" customHeight="1">
      <c r="A24" s="14" t="inlineStr">
        <is>
          <t>Interruptor General (Diferencial)</t>
        </is>
      </c>
      <c r="B24" s="23" t="inlineStr">
        <is>
          <t>2P - 40 A, Sensibilidad 30 mA</t>
        </is>
      </c>
      <c r="C24" s="18" t="n"/>
      <c r="D24" s="14" t="inlineStr">
        <is>
          <t>Protección contra fugas</t>
        </is>
      </c>
      <c r="E24" s="16" t="inlineStr">
        <is>
          <t>-</t>
        </is>
      </c>
      <c r="G24" s="24" t="inlineStr">
        <is>
          <t>Sí (Obligatorio EM.010)</t>
        </is>
      </c>
    </row>
  </sheetData>
  <mergeCells count="15">
    <mergeCell ref="D18:G18"/>
    <mergeCell ref="B21:C21"/>
    <mergeCell ref="B24:C24"/>
    <mergeCell ref="A1:G1"/>
    <mergeCell ref="D17:G17"/>
    <mergeCell ref="A12:D12"/>
    <mergeCell ref="A10:B10"/>
    <mergeCell ref="D16:G16"/>
    <mergeCell ref="B23:C23"/>
    <mergeCell ref="A20:G20"/>
    <mergeCell ref="B22:C22"/>
    <mergeCell ref="A2:G2"/>
    <mergeCell ref="D15:G15"/>
    <mergeCell ref="D13:G13"/>
    <mergeCell ref="D14:G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2026-06-03T06:02:22Z</dcterms:created>
  <dcterms:modified xsi:type="dcterms:W3CDTF">2026-06-03T06:02:22Z</dcterms:modified>
</cp:coreProperties>
</file>