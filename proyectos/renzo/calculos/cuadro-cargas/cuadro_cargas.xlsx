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instalacion-electricas\proyecto_vivienda_unifamiliar_por_RENZO\cuadro_cargas\"/>
    </mc:Choice>
  </mc:AlternateContent>
  <xr:revisionPtr revIDLastSave="0" documentId="13_ncr:1_{CE621825-7BE0-4D9D-BAB9-07BE87C69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 de Car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E9" i="1"/>
  <c r="F9" i="1" s="1"/>
  <c r="E8" i="1"/>
  <c r="F8" i="1" s="1"/>
  <c r="E7" i="1"/>
  <c r="F7" i="1" s="1"/>
  <c r="E6" i="1"/>
  <c r="F6" i="1" s="1"/>
  <c r="E5" i="1"/>
  <c r="F5" i="1" s="1"/>
  <c r="E10" i="1" l="1"/>
  <c r="F10" i="1" s="1"/>
</calcChain>
</file>

<file path=xl/sharedStrings.xml><?xml version="1.0" encoding="utf-8"?>
<sst xmlns="http://schemas.openxmlformats.org/spreadsheetml/2006/main" count="41" uniqueCount="32">
  <si>
    <t>CUADRO DE CARGAS - RESIDENCIAL</t>
  </si>
  <si>
    <t>Estudiante: Renzo Gabriel Mamani Galindo  |  Curso: Instalaciones Eléctricas I  |  Universidad: UNAP</t>
  </si>
  <si>
    <t>Circuito</t>
  </si>
  <si>
    <t>Descripción de Carga</t>
  </si>
  <si>
    <t>Pot. Instalada (W)</t>
  </si>
  <si>
    <t>F. Demanda</t>
  </si>
  <si>
    <t>Máx. Demanda (W)</t>
  </si>
  <si>
    <t>I. Diseño (A)</t>
  </si>
  <si>
    <t>Conductor / Alimentador</t>
  </si>
  <si>
    <t>ITM (A)</t>
  </si>
  <si>
    <t>ID (mA)</t>
  </si>
  <si>
    <t>C1</t>
  </si>
  <si>
    <t>Alumbrado General (Lámparas LED)</t>
  </si>
  <si>
    <t>3 x 1.5 mm2 Cu - PVC 3/4"</t>
  </si>
  <si>
    <t>2P - 10A</t>
  </si>
  <si>
    <t>2P - 25A / 30mA</t>
  </si>
  <si>
    <t>C2</t>
  </si>
  <si>
    <t>Tomacorrientes Generales (TC)</t>
  </si>
  <si>
    <t>3 x 2.5 mm2 Cu - PVC 3/4"</t>
  </si>
  <si>
    <t>2P - 16A</t>
  </si>
  <si>
    <t>C3</t>
  </si>
  <si>
    <t>Tomacorrientes de Cocina</t>
  </si>
  <si>
    <t>2P - 20A</t>
  </si>
  <si>
    <t>C4</t>
  </si>
  <si>
    <t>Servicios Lavandería</t>
  </si>
  <si>
    <t>C5</t>
  </si>
  <si>
    <t>Carga Especial (Bomba de Agua)</t>
  </si>
  <si>
    <t>TOTAL</t>
  </si>
  <si>
    <t>DEMANDA CONSOLIDADA</t>
  </si>
  <si>
    <t>Acometida: 2 x 10 mm2 Cu + PE</t>
  </si>
  <si>
    <t>Gral: 2P-40A</t>
  </si>
  <si>
    <t>ID: 2P-40A/30mA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</si>
</sst>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i/>
      <sz val="10"/>
      <color rgb="FF4A5568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double">
        <color rgb="FF1B365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/>
    <xf numFmtId="2" fontId="5" fillId="4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sqref="A1:G1"/>
    </sheetView>
  </sheetViews>
  <sheetFormatPr baseColWidth="10" defaultColWidth="8.88671875" defaultRowHeight="14.4" x14ac:dyDescent="0.3"/>
  <cols>
    <col min="1" max="1" width="10" customWidth="1"/>
    <col min="2" max="2" width="30" customWidth="1"/>
    <col min="3" max="3" width="16" customWidth="1"/>
    <col min="4" max="4" width="14" customWidth="1"/>
    <col min="5" max="5" width="16" customWidth="1"/>
    <col min="6" max="6" width="12" customWidth="1"/>
    <col min="7" max="7" width="32.33203125" customWidth="1"/>
    <col min="8" max="8" width="14" customWidth="1"/>
    <col min="9" max="9" width="23.33203125" customWidth="1"/>
  </cols>
  <sheetData>
    <row r="1" spans="1:9" ht="25.05" customHeight="1" x14ac:dyDescent="0.3">
      <c r="A1" s="17" t="s">
        <v>0</v>
      </c>
      <c r="B1" s="16"/>
      <c r="C1" s="16"/>
      <c r="D1" s="16"/>
      <c r="E1" s="16"/>
      <c r="F1" s="16"/>
      <c r="G1" s="16"/>
    </row>
    <row r="2" spans="1:9" ht="18" customHeight="1" x14ac:dyDescent="0.3">
      <c r="A2" s="15" t="s">
        <v>1</v>
      </c>
      <c r="B2" s="16"/>
      <c r="C2" s="16"/>
      <c r="D2" s="16"/>
      <c r="E2" s="16"/>
      <c r="F2" s="16"/>
      <c r="G2" s="16"/>
    </row>
    <row r="4" spans="1:9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9.95" customHeight="1" x14ac:dyDescent="0.3">
      <c r="A5" s="2" t="s">
        <v>11</v>
      </c>
      <c r="B5" s="3" t="s">
        <v>12</v>
      </c>
      <c r="C5" s="4">
        <v>132</v>
      </c>
      <c r="D5" s="5">
        <v>1</v>
      </c>
      <c r="E5" s="4">
        <f>C5*D5</f>
        <v>132</v>
      </c>
      <c r="F5" s="5">
        <f t="shared" ref="F5:F10" si="0">E5/(220*0.9)</f>
        <v>0.66666666666666663</v>
      </c>
      <c r="G5" s="3" t="s">
        <v>13</v>
      </c>
      <c r="H5" s="2" t="s">
        <v>14</v>
      </c>
      <c r="I5" s="2" t="s">
        <v>15</v>
      </c>
    </row>
    <row r="6" spans="1:9" ht="19.95" customHeight="1" x14ac:dyDescent="0.3">
      <c r="A6" s="6" t="s">
        <v>16</v>
      </c>
      <c r="B6" s="7" t="s">
        <v>17</v>
      </c>
      <c r="C6" s="8">
        <v>2520</v>
      </c>
      <c r="D6" s="9">
        <v>0.7</v>
      </c>
      <c r="E6" s="8">
        <f>C6*D6</f>
        <v>1764</v>
      </c>
      <c r="F6" s="9">
        <f t="shared" si="0"/>
        <v>8.9090909090909083</v>
      </c>
      <c r="G6" s="7" t="s">
        <v>18</v>
      </c>
      <c r="H6" s="6" t="s">
        <v>19</v>
      </c>
      <c r="I6" s="6" t="s">
        <v>15</v>
      </c>
    </row>
    <row r="7" spans="1:9" ht="19.95" customHeight="1" x14ac:dyDescent="0.3">
      <c r="A7" s="2" t="s">
        <v>20</v>
      </c>
      <c r="B7" s="3" t="s">
        <v>21</v>
      </c>
      <c r="C7" s="4">
        <v>1200</v>
      </c>
      <c r="D7" s="5">
        <v>0.8</v>
      </c>
      <c r="E7" s="4">
        <f>C7*D7</f>
        <v>960</v>
      </c>
      <c r="F7" s="5">
        <f t="shared" si="0"/>
        <v>4.8484848484848486</v>
      </c>
      <c r="G7" s="3" t="s">
        <v>18</v>
      </c>
      <c r="H7" s="2" t="s">
        <v>22</v>
      </c>
      <c r="I7" s="2" t="s">
        <v>15</v>
      </c>
    </row>
    <row r="8" spans="1:9" ht="19.95" customHeight="1" x14ac:dyDescent="0.3">
      <c r="A8" s="6" t="s">
        <v>23</v>
      </c>
      <c r="B8" s="7" t="s">
        <v>24</v>
      </c>
      <c r="C8" s="8">
        <v>360</v>
      </c>
      <c r="D8" s="9">
        <v>0.8</v>
      </c>
      <c r="E8" s="8">
        <f>C8*D8</f>
        <v>288</v>
      </c>
      <c r="F8" s="9">
        <f t="shared" si="0"/>
        <v>1.4545454545454546</v>
      </c>
      <c r="G8" s="7" t="s">
        <v>18</v>
      </c>
      <c r="H8" s="6" t="s">
        <v>19</v>
      </c>
      <c r="I8" s="6" t="s">
        <v>15</v>
      </c>
    </row>
    <row r="9" spans="1:9" ht="19.95" customHeight="1" x14ac:dyDescent="0.3">
      <c r="A9" s="2" t="s">
        <v>25</v>
      </c>
      <c r="B9" s="3" t="s">
        <v>26</v>
      </c>
      <c r="C9" s="4">
        <v>750</v>
      </c>
      <c r="D9" s="5">
        <v>1</v>
      </c>
      <c r="E9" s="4">
        <f>C9*D9</f>
        <v>750</v>
      </c>
      <c r="F9" s="5">
        <f t="shared" si="0"/>
        <v>3.7878787878787881</v>
      </c>
      <c r="G9" s="3" t="s">
        <v>18</v>
      </c>
      <c r="H9" s="2" t="s">
        <v>19</v>
      </c>
      <c r="I9" s="2" t="s">
        <v>15</v>
      </c>
    </row>
    <row r="10" spans="1:9" ht="22.05" customHeight="1" x14ac:dyDescent="0.3">
      <c r="A10" s="10" t="s">
        <v>27</v>
      </c>
      <c r="B10" s="11" t="s">
        <v>28</v>
      </c>
      <c r="C10" s="12">
        <f>SUM(C5:C9)</f>
        <v>4962</v>
      </c>
      <c r="D10" s="13"/>
      <c r="E10" s="12">
        <f>SUM(E5:E9)</f>
        <v>3894</v>
      </c>
      <c r="F10" s="14">
        <f t="shared" si="0"/>
        <v>19.666666666666668</v>
      </c>
      <c r="G10" s="11" t="s">
        <v>29</v>
      </c>
      <c r="H10" s="10" t="s">
        <v>30</v>
      </c>
      <c r="I10" s="10" t="s">
        <v>31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de Cargas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MAMANI GALLINDO</cp:lastModifiedBy>
  <dcterms:created xsi:type="dcterms:W3CDTF">2026-06-03T11:35:41Z</dcterms:created>
  <dcterms:modified xsi:type="dcterms:W3CDTF">2026-06-08T16:46:17Z</dcterms:modified>
</cp:coreProperties>
</file>