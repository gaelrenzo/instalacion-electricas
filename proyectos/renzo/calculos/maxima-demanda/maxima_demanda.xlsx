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áxima Dem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43F60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43F60"/>
        <bgColor rgb="00243F60"/>
      </patternFill>
    </fill>
    <fill>
      <patternFill patternType="solid">
        <fgColor rgb="00EAEAEA"/>
        <bgColor rgb="00EAEAEA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243F60"/>
      </top>
      <bottom style="medium">
        <color rgb="00243F6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  <border>
      <left style="thin">
        <color rgb="00CCCCCC"/>
      </left>
      <top style="thin">
        <color rgb="00CCCCCC"/>
      </top>
      <bottom style="thin">
        <color rgb="00CCCCCC"/>
      </bottom>
    </border>
    <border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3" fontId="5" fillId="3" borderId="3" applyAlignment="1" pivotButton="0" quotePrefix="0" xfId="0">
      <alignment horizontal="right" vertical="center"/>
    </xf>
    <xf numFmtId="0" fontId="5" fillId="3" borderId="3" pivotButton="0" quotePrefix="0" xfId="0"/>
    <xf numFmtId="0" fontId="5" fillId="0" borderId="0" pivotButton="0" quotePrefix="0" xfId="0"/>
    <xf numFmtId="0" fontId="4" fillId="0" borderId="4" pivotButton="0" quotePrefix="0" xfId="0"/>
    <xf numFmtId="0" fontId="0" fillId="0" borderId="6" pivotButton="0" quotePrefix="0" xfId="0"/>
    <xf numFmtId="0" fontId="5" fillId="0" borderId="5" applyAlignment="1" pivotButton="0" quotePrefix="0" xfId="0">
      <alignment horizontal="right" vertical="center"/>
    </xf>
    <xf numFmtId="2" fontId="5" fillId="0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23" customWidth="1" min="4" max="4"/>
    <col width="37" customWidth="1" min="5" max="5"/>
    <col width="20" customWidth="1" min="6" max="6"/>
    <col width="21" customWidth="1" min="7" max="7"/>
    <col width="28" customWidth="1" min="8" max="8"/>
    <col width="25" customWidth="1" min="9" max="9"/>
  </cols>
  <sheetData>
    <row r="1">
      <c r="A1" s="1" t="inlineStr">
        <is>
          <t>CÁLCULO DE MÁXIMA DEMANDA - VIVIENDA UNIFAMILIAR DE 3 PISOS</t>
        </is>
      </c>
    </row>
    <row r="2">
      <c r="A2" s="2" t="inlineStr">
        <is>
          <t>Estudiante: Renzo Gabriel Mamani Galindo  |  Curso: Instalaciones Eléctricas I  |  Universidad: UNAP (FIME)</t>
        </is>
      </c>
    </row>
    <row r="3"/>
    <row r="4">
      <c r="A4" s="3" t="inlineStr">
        <is>
          <t>Circuito</t>
        </is>
      </c>
      <c r="B4" s="3" t="inlineStr">
        <is>
          <t>Descripción de Carga / Uso</t>
        </is>
      </c>
      <c r="C4" s="3" t="inlineStr">
        <is>
          <t>Puntos</t>
        </is>
      </c>
      <c r="D4" s="3" t="inlineStr">
        <is>
          <t>Pot. Inst. Unit. (W)</t>
        </is>
      </c>
      <c r="E4" s="3" t="inlineStr">
        <is>
          <t>Pot. Inst. Total (W)</t>
        </is>
      </c>
      <c r="F4" s="3" t="inlineStr">
        <is>
          <t>Factor de Demanda</t>
        </is>
      </c>
      <c r="G4" s="3" t="inlineStr">
        <is>
          <t>Máxima Demanda (W)</t>
        </is>
      </c>
      <c r="H4" s="3" t="inlineStr">
        <is>
          <t>Interruptor Termomagnético</t>
        </is>
      </c>
      <c r="I4" s="3" t="inlineStr">
        <is>
          <t>Conductor Eléctrico</t>
        </is>
      </c>
    </row>
    <row r="5">
      <c r="A5" s="4" t="inlineStr">
        <is>
          <t>C1</t>
        </is>
      </c>
      <c r="B5" s="5" t="inlineStr">
        <is>
          <t>Alumbrado primer piso</t>
        </is>
      </c>
      <c r="C5" s="6" t="n">
        <v>5</v>
      </c>
      <c r="D5" s="6" t="n">
        <v>50</v>
      </c>
      <c r="E5" s="6">
        <f>C5*D5</f>
        <v/>
      </c>
      <c r="F5" s="7" t="n">
        <v>1</v>
      </c>
      <c r="G5" s="6">
        <f>E5*F5</f>
        <v/>
      </c>
      <c r="H5" s="4" t="inlineStr">
        <is>
          <t>2P-10A</t>
        </is>
      </c>
      <c r="I5" s="5" t="inlineStr">
        <is>
          <t>3 x 1.5 mm² Cu (PW)</t>
        </is>
      </c>
    </row>
    <row r="6">
      <c r="A6" s="4" t="inlineStr">
        <is>
          <t>C2</t>
        </is>
      </c>
      <c r="B6" s="5" t="inlineStr">
        <is>
          <t>Tomacorrientes primer piso</t>
        </is>
      </c>
      <c r="C6" s="6" t="n">
        <v>6</v>
      </c>
      <c r="D6" s="6" t="n">
        <v>180</v>
      </c>
      <c r="E6" s="6">
        <f>C6*D6</f>
        <v/>
      </c>
      <c r="F6" s="7" t="n">
        <v>0.7</v>
      </c>
      <c r="G6" s="6">
        <f>E6*F6</f>
        <v/>
      </c>
      <c r="H6" s="4" t="inlineStr">
        <is>
          <t>2P-16A / ID-25A</t>
        </is>
      </c>
      <c r="I6" s="5" t="inlineStr">
        <is>
          <t>3 x 2.5 mm² Cu (PW)</t>
        </is>
      </c>
    </row>
    <row r="7">
      <c r="A7" s="4" t="inlineStr">
        <is>
          <t>C3</t>
        </is>
      </c>
      <c r="B7" s="5" t="inlineStr">
        <is>
          <t>Alumbrado segundo piso</t>
        </is>
      </c>
      <c r="C7" s="6" t="n">
        <v>6</v>
      </c>
      <c r="D7" s="6" t="n">
        <v>50</v>
      </c>
      <c r="E7" s="6">
        <f>C7*D7</f>
        <v/>
      </c>
      <c r="F7" s="7" t="n">
        <v>1</v>
      </c>
      <c r="G7" s="6">
        <f>E7*F7</f>
        <v/>
      </c>
      <c r="H7" s="4" t="inlineStr">
        <is>
          <t>2P-10A</t>
        </is>
      </c>
      <c r="I7" s="5" t="inlineStr">
        <is>
          <t>3 x 1.5 mm² Cu (PW)</t>
        </is>
      </c>
    </row>
    <row r="8">
      <c r="A8" s="4" t="inlineStr">
        <is>
          <t>C4</t>
        </is>
      </c>
      <c r="B8" s="5" t="inlineStr">
        <is>
          <t>Tomacorrientes segundo piso</t>
        </is>
      </c>
      <c r="C8" s="6" t="n">
        <v>11</v>
      </c>
      <c r="D8" s="6" t="n">
        <v>180</v>
      </c>
      <c r="E8" s="6">
        <f>C8*D8</f>
        <v/>
      </c>
      <c r="F8" s="7" t="n">
        <v>0.7</v>
      </c>
      <c r="G8" s="6">
        <f>E8*F8</f>
        <v/>
      </c>
      <c r="H8" s="4" t="inlineStr">
        <is>
          <t>2P-16A / ID-25A</t>
        </is>
      </c>
      <c r="I8" s="5" t="inlineStr">
        <is>
          <t>3 x 2.5 mm² Cu (PW)</t>
        </is>
      </c>
    </row>
    <row r="9">
      <c r="A9" s="4" t="inlineStr">
        <is>
          <t>C5</t>
        </is>
      </c>
      <c r="B9" s="5" t="inlineStr">
        <is>
          <t>Alumbrado tercer piso</t>
        </is>
      </c>
      <c r="C9" s="6" t="n">
        <v>7</v>
      </c>
      <c r="D9" s="6" t="n">
        <v>50</v>
      </c>
      <c r="E9" s="6">
        <f>C9*D9</f>
        <v/>
      </c>
      <c r="F9" s="7" t="n">
        <v>1</v>
      </c>
      <c r="G9" s="6">
        <f>E9*F9</f>
        <v/>
      </c>
      <c r="H9" s="4" t="inlineStr">
        <is>
          <t>2P-10A</t>
        </is>
      </c>
      <c r="I9" s="5" t="inlineStr">
        <is>
          <t>3 x 1.5 mm² Cu (PW)</t>
        </is>
      </c>
    </row>
    <row r="10">
      <c r="A10" s="4" t="inlineStr">
        <is>
          <t>C6</t>
        </is>
      </c>
      <c r="B10" s="5" t="inlineStr">
        <is>
          <t>Tomacorrientes tercer piso</t>
        </is>
      </c>
      <c r="C10" s="6" t="n">
        <v>10</v>
      </c>
      <c r="D10" s="6" t="n">
        <v>180</v>
      </c>
      <c r="E10" s="6">
        <f>C10*D10</f>
        <v/>
      </c>
      <c r="F10" s="7" t="n">
        <v>0.7</v>
      </c>
      <c r="G10" s="6">
        <f>E10*F10</f>
        <v/>
      </c>
      <c r="H10" s="4" t="inlineStr">
        <is>
          <t>2P-16A / ID-25A</t>
        </is>
      </c>
      <c r="I10" s="5" t="inlineStr">
        <is>
          <t>3 x 2.5 mm² Cu (PW)</t>
        </is>
      </c>
    </row>
    <row r="11">
      <c r="A11" s="8" t="inlineStr">
        <is>
          <t>TOTAL</t>
        </is>
      </c>
      <c r="B11" s="9" t="inlineStr">
        <is>
          <t>CARGAS SUMADAS DE LA VIVIENDA</t>
        </is>
      </c>
      <c r="C11" s="10">
        <f>SUM(C5:C10)</f>
        <v/>
      </c>
      <c r="D11" s="11" t="inlineStr"/>
      <c r="E11" s="10">
        <f>SUM(E5:E10)</f>
        <v/>
      </c>
      <c r="F11" s="11" t="inlineStr"/>
      <c r="G11" s="10">
        <f>SUM(G5:G10)</f>
        <v/>
      </c>
      <c r="H11" s="11" t="inlineStr"/>
      <c r="I11" s="11" t="inlineStr"/>
    </row>
    <row r="12"/>
    <row r="13">
      <c r="A13" s="12" t="inlineStr">
        <is>
          <t>CÁLCULOS DEL ALIMENTADOR PRINCIPAL Y PROTECCIÓN GENERAL</t>
        </is>
      </c>
    </row>
    <row r="14">
      <c r="A14" s="13" t="inlineStr">
        <is>
          <t>Tensión de Suministro Monofásico (V):</t>
        </is>
      </c>
      <c r="B14" s="14" t="n"/>
      <c r="C14" s="14" t="n"/>
      <c r="D14" s="14" t="n"/>
      <c r="E14" s="15" t="n">
        <v>220</v>
      </c>
    </row>
    <row r="15">
      <c r="A15" s="13" t="inlineStr">
        <is>
          <t>Factor de Potencia (cos φ):</t>
        </is>
      </c>
      <c r="B15" s="14" t="n"/>
      <c r="C15" s="14" t="n"/>
      <c r="D15" s="14" t="n"/>
      <c r="E15" s="15" t="n">
        <v>0.9</v>
      </c>
    </row>
    <row r="16">
      <c r="A16" s="13" t="inlineStr">
        <is>
          <t>Intensidad de Diseño (A):</t>
        </is>
      </c>
      <c r="B16" s="14" t="n"/>
      <c r="C16" s="14" t="n"/>
      <c r="D16" s="14" t="n"/>
      <c r="E16" s="16">
        <f>G11/(E14*E15)</f>
        <v/>
      </c>
    </row>
    <row r="17">
      <c r="A17" s="13" t="inlineStr">
        <is>
          <t>Interruptor General Termomagnético Propuesto:</t>
        </is>
      </c>
      <c r="B17" s="14" t="n"/>
      <c r="C17" s="14" t="n"/>
      <c r="D17" s="14" t="n"/>
      <c r="E17" s="15" t="inlineStr">
        <is>
          <t>2P - 32 A</t>
        </is>
      </c>
    </row>
    <row r="18">
      <c r="A18" s="13" t="inlineStr">
        <is>
          <t>Interruptor Diferencial General Propuesto:</t>
        </is>
      </c>
      <c r="B18" s="14" t="n"/>
      <c r="C18" s="14" t="n"/>
      <c r="D18" s="14" t="n"/>
      <c r="E18" s="15" t="inlineStr">
        <is>
          <t>2P - 40 A / 30 mA</t>
        </is>
      </c>
    </row>
    <row r="19">
      <c r="A19" s="13" t="inlineStr">
        <is>
          <t>Conductor del Alimentador General:</t>
        </is>
      </c>
      <c r="B19" s="14" t="n"/>
      <c r="C19" s="14" t="n"/>
      <c r="D19" s="14" t="n"/>
      <c r="E19" s="15" t="inlineStr">
        <is>
          <t>2 x 10 mm² Cu + 1 x 10 mm² Cu (PE)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2026-06-03T19:08:05Z</dcterms:created>
  <dcterms:modified xsi:type="dcterms:W3CDTF">2026-06-03T19:08:05Z</dcterms:modified>
</cp:coreProperties>
</file>