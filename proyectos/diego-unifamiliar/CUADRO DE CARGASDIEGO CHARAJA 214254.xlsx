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C2B12D5F-E4DC-4DCF-AAF2-87B7D45BF6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adro de Carg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E13" i="1"/>
  <c r="E12" i="1"/>
  <c r="E11" i="1"/>
  <c r="E10" i="1"/>
  <c r="E9" i="1"/>
  <c r="E8" i="1"/>
  <c r="E7" i="1"/>
  <c r="E6" i="1"/>
  <c r="E14" i="1" l="1"/>
  <c r="C18" i="1" s="1"/>
  <c r="C19" i="1" s="1"/>
  <c r="C23" i="1" s="1"/>
</calcChain>
</file>

<file path=xl/sharedStrings.xml><?xml version="1.0" encoding="utf-8"?>
<sst xmlns="http://schemas.openxmlformats.org/spreadsheetml/2006/main" count="47" uniqueCount="47">
  <si>
    <t>CUADRO DE CARGAS - VIVIENDA UNIFAMILIAR</t>
  </si>
  <si>
    <t>Circuito</t>
  </si>
  <si>
    <t>Descripción de la Carga / Ubicación</t>
  </si>
  <si>
    <t>Potencia Instalada (W)</t>
  </si>
  <si>
    <t>Factor de Simultaneidad (FS)</t>
  </si>
  <si>
    <t>Máxima Demanda (W)</t>
  </si>
  <si>
    <t>C-1</t>
  </si>
  <si>
    <t>Alumbrado y Tomacorrientes generales (Primeros 90 m²)</t>
  </si>
  <si>
    <t>C-2</t>
  </si>
  <si>
    <t>Alumbrado y Tomacorrientes generales (Área restante)</t>
  </si>
  <si>
    <t>C-3</t>
  </si>
  <si>
    <t>Cocina Eléctrica (Primer Piso)</t>
  </si>
  <si>
    <t>C-4</t>
  </si>
  <si>
    <t>Terma Eléctrica / Ducha (Segundo Piso)</t>
  </si>
  <si>
    <t>C-5</t>
  </si>
  <si>
    <t>Electrobomba de Agua (0.75 HP - Patio/Cisterna)</t>
  </si>
  <si>
    <t>C-6</t>
  </si>
  <si>
    <t>Tomacorrientes de Cocina (Microondas, Licuadora, etc.)</t>
  </si>
  <si>
    <t>C-7</t>
  </si>
  <si>
    <t>Lavadora y Secadora de Ropa (Azotea / Lavandería)</t>
  </si>
  <si>
    <t>C-8</t>
  </si>
  <si>
    <t>Cargas Especiales de Reserva / Ampliaciones</t>
  </si>
  <si>
    <t>TOTALES</t>
  </si>
  <si>
    <t>PARÁMETROS Y ESPECIFICACIONES DE DISEÑO</t>
  </si>
  <si>
    <t>Máxima Demanda Total:</t>
  </si>
  <si>
    <t>W</t>
  </si>
  <si>
    <t>Carga máxima requerida calculada.</t>
  </si>
  <si>
    <t>Máxima Demanda en kW:</t>
  </si>
  <si>
    <t>kW</t>
  </si>
  <si>
    <t>Convertido a Kilowatts.</t>
  </si>
  <si>
    <t>Tensión de Servicio:</t>
  </si>
  <si>
    <t>V</t>
  </si>
  <si>
    <t>Voltaje nominal residencial.</t>
  </si>
  <si>
    <t>Tipo de Sistema Sugerido:</t>
  </si>
  <si>
    <t>TRIFÁSICO</t>
  </si>
  <si>
    <t>Recomendado por superar los 10 kW de MD.</t>
  </si>
  <si>
    <t>Factor de Potencia (cos ø):</t>
  </si>
  <si>
    <t>Estándar residencial según CNE.</t>
  </si>
  <si>
    <t>Corriente Nominal (In):</t>
  </si>
  <si>
    <t>A</t>
  </si>
  <si>
    <t>Fórmula: MD / (√3 * V * cos ø)</t>
  </si>
  <si>
    <t>Interruptor General Sugerido:</t>
  </si>
  <si>
    <t>3 x 40 A</t>
  </si>
  <si>
    <t>Termomagnético de protección en el TD.</t>
  </si>
  <si>
    <t>Capacidad Mínima del Tablero:</t>
  </si>
  <si>
    <t>24 Polos</t>
  </si>
  <si>
    <t>Para albergar diferenciales y reservas.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</si>
</sst>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2D3748"/>
      <name val="Segoe UI"/>
    </font>
    <font>
      <i/>
      <sz val="10"/>
      <color rgb="FF718096"/>
      <name val="Segoe UI"/>
    </font>
    <font>
      <b/>
      <sz val="11"/>
      <color rgb="FFFFFFFF"/>
      <name val="Segoe UI"/>
    </font>
    <font>
      <sz val="11"/>
      <color rgb="FF000000"/>
      <name val="Segoe UI"/>
    </font>
    <font>
      <b/>
      <sz val="11"/>
      <color rgb="FF000000"/>
      <name val="Segoe UI"/>
    </font>
    <font>
      <b/>
      <sz val="12"/>
      <color rgb="FF2C5282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2C5282"/>
        <bgColor rgb="FF2C5282"/>
      </patternFill>
    </fill>
    <fill>
      <patternFill patternType="solid">
        <fgColor rgb="FFF7FAFC"/>
        <bgColor rgb="FFF7FAFC"/>
      </patternFill>
    </fill>
    <fill>
      <patternFill patternType="solid">
        <fgColor rgb="FFEBF8FF"/>
        <bgColor rgb="FFEBF8FF"/>
      </patternFill>
    </fill>
  </fills>
  <borders count="3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3" fontId="4" fillId="0" borderId="1" xfId="0" applyNumberFormat="1" applyFont="1" applyBorder="1" applyAlignment="1">
      <alignment horizontal="right"/>
    </xf>
    <xf numFmtId="2" fontId="4" fillId="0" borderId="1" xfId="0" applyNumberFormat="1" applyFont="1" applyBorder="1" applyAlignment="1">
      <alignment horizontal="right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left"/>
    </xf>
    <xf numFmtId="3" fontId="4" fillId="3" borderId="1" xfId="0" applyNumberFormat="1" applyFont="1" applyFill="1" applyBorder="1" applyAlignment="1">
      <alignment horizontal="right"/>
    </xf>
    <xf numFmtId="2" fontId="4" fillId="3" borderId="1" xfId="0" applyNumberFormat="1" applyFont="1" applyFill="1" applyBorder="1" applyAlignment="1">
      <alignment horizontal="right"/>
    </xf>
    <xf numFmtId="0" fontId="0" fillId="4" borderId="2" xfId="0" applyFill="1" applyBorder="1"/>
    <xf numFmtId="3" fontId="5" fillId="4" borderId="2" xfId="0" applyNumberFormat="1" applyFont="1" applyFill="1" applyBorder="1" applyAlignment="1">
      <alignment horizontal="right"/>
    </xf>
    <xf numFmtId="0" fontId="6" fillId="0" borderId="0" xfId="0" applyFont="1"/>
    <xf numFmtId="0" fontId="5" fillId="0" borderId="0" xfId="0" applyFont="1"/>
    <xf numFmtId="0" fontId="4" fillId="0" borderId="0" xfId="0" applyFont="1" applyAlignment="1">
      <alignment horizontal="right"/>
    </xf>
    <xf numFmtId="3" fontId="4" fillId="0" borderId="0" xfId="0" applyNumberFormat="1" applyFont="1" applyAlignment="1">
      <alignment horizontal="right"/>
    </xf>
    <xf numFmtId="2" fontId="4" fillId="0" borderId="0" xfId="0" applyNumberFormat="1" applyFont="1" applyAlignment="1">
      <alignment horizontal="right"/>
    </xf>
    <xf numFmtId="0" fontId="5" fillId="4" borderId="2" xfId="0" applyFont="1" applyFill="1" applyBorder="1" applyAlignment="1">
      <alignment horizontal="center"/>
    </xf>
    <xf numFmtId="0" fontId="0" fillId="4" borderId="2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25"/>
  <sheetViews>
    <sheetView tabSelected="1" zoomScale="72" workbookViewId="0">
      <selection activeCell="A21" sqref="A21:G21"/>
    </sheetView>
  </sheetViews>
  <sheetFormatPr baseColWidth="10" defaultColWidth="8.88671875" defaultRowHeight="14.4" x14ac:dyDescent="0.3"/>
  <cols>
    <col min="1" max="1" width="12" customWidth="1"/>
    <col min="2" max="2" width="50" customWidth="1"/>
    <col min="3" max="3" width="22" customWidth="1"/>
    <col min="4" max="4" width="25" customWidth="1"/>
    <col min="5" max="5" width="22" customWidth="1"/>
  </cols>
  <sheetData>
    <row r="2" spans="1:5" ht="24.6" x14ac:dyDescent="0.55000000000000004">
      <c r="A2" s="1" t="s">
        <v>0</v>
      </c>
    </row>
    <row r="3" spans="1:5" ht="15" x14ac:dyDescent="0.35">
      <c r="A3" s="2"/>
    </row>
    <row r="5" spans="1:5" ht="28.05" customHeight="1" x14ac:dyDescent="0.3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</row>
    <row r="6" spans="1:5" ht="16.8" x14ac:dyDescent="0.4">
      <c r="A6" s="4" t="s">
        <v>6</v>
      </c>
      <c r="B6" s="5" t="s">
        <v>7</v>
      </c>
      <c r="C6" s="6">
        <v>2500</v>
      </c>
      <c r="D6" s="7">
        <v>1</v>
      </c>
      <c r="E6" s="6">
        <f t="shared" ref="E6:E13" si="0">C6*D6</f>
        <v>2500</v>
      </c>
    </row>
    <row r="7" spans="1:5" ht="16.8" x14ac:dyDescent="0.4">
      <c r="A7" s="8" t="s">
        <v>8</v>
      </c>
      <c r="B7" s="9" t="s">
        <v>9</v>
      </c>
      <c r="C7" s="10">
        <v>2000</v>
      </c>
      <c r="D7" s="11">
        <v>0.35</v>
      </c>
      <c r="E7" s="10">
        <f t="shared" si="0"/>
        <v>700</v>
      </c>
    </row>
    <row r="8" spans="1:5" ht="16.8" x14ac:dyDescent="0.4">
      <c r="A8" s="4" t="s">
        <v>10</v>
      </c>
      <c r="B8" s="5" t="s">
        <v>11</v>
      </c>
      <c r="C8" s="6">
        <v>6000</v>
      </c>
      <c r="D8" s="7">
        <v>0.8</v>
      </c>
      <c r="E8" s="6">
        <f t="shared" si="0"/>
        <v>4800</v>
      </c>
    </row>
    <row r="9" spans="1:5" ht="16.8" x14ac:dyDescent="0.4">
      <c r="A9" s="8" t="s">
        <v>12</v>
      </c>
      <c r="B9" s="9" t="s">
        <v>13</v>
      </c>
      <c r="C9" s="10">
        <v>1500</v>
      </c>
      <c r="D9" s="11">
        <v>1</v>
      </c>
      <c r="E9" s="10">
        <f t="shared" si="0"/>
        <v>1500</v>
      </c>
    </row>
    <row r="10" spans="1:5" ht="16.8" x14ac:dyDescent="0.4">
      <c r="A10" s="4" t="s">
        <v>14</v>
      </c>
      <c r="B10" s="5" t="s">
        <v>15</v>
      </c>
      <c r="C10" s="6">
        <v>750</v>
      </c>
      <c r="D10" s="7">
        <v>1</v>
      </c>
      <c r="E10" s="6">
        <f t="shared" si="0"/>
        <v>750</v>
      </c>
    </row>
    <row r="11" spans="1:5" ht="16.8" x14ac:dyDescent="0.4">
      <c r="A11" s="8" t="s">
        <v>16</v>
      </c>
      <c r="B11" s="9" t="s">
        <v>17</v>
      </c>
      <c r="C11" s="10">
        <v>1500</v>
      </c>
      <c r="D11" s="11">
        <v>0.5</v>
      </c>
      <c r="E11" s="10">
        <f t="shared" si="0"/>
        <v>750</v>
      </c>
    </row>
    <row r="12" spans="1:5" ht="16.8" x14ac:dyDescent="0.4">
      <c r="A12" s="4" t="s">
        <v>18</v>
      </c>
      <c r="B12" s="5" t="s">
        <v>19</v>
      </c>
      <c r="C12" s="6">
        <v>2500</v>
      </c>
      <c r="D12" s="7">
        <v>0.7</v>
      </c>
      <c r="E12" s="6">
        <f t="shared" si="0"/>
        <v>1750</v>
      </c>
    </row>
    <row r="13" spans="1:5" ht="16.8" x14ac:dyDescent="0.4">
      <c r="A13" s="8" t="s">
        <v>20</v>
      </c>
      <c r="B13" s="9" t="s">
        <v>21</v>
      </c>
      <c r="C13" s="10">
        <v>1500</v>
      </c>
      <c r="D13" s="11">
        <v>0.5</v>
      </c>
      <c r="E13" s="10">
        <f t="shared" si="0"/>
        <v>750</v>
      </c>
    </row>
    <row r="14" spans="1:5" ht="17.399999999999999" thickBot="1" x14ac:dyDescent="0.45">
      <c r="A14" s="19" t="s">
        <v>22</v>
      </c>
      <c r="B14" s="20"/>
      <c r="C14" s="13">
        <f>SUM(C6:C13)</f>
        <v>18250</v>
      </c>
      <c r="D14" s="12"/>
      <c r="E14" s="13">
        <f>SUM(E6:E13)</f>
        <v>13500</v>
      </c>
    </row>
    <row r="17" spans="1:5" ht="19.2" x14ac:dyDescent="0.45">
      <c r="A17" s="14" t="s">
        <v>23</v>
      </c>
    </row>
    <row r="18" spans="1:5" ht="16.8" x14ac:dyDescent="0.4">
      <c r="A18" s="15" t="s">
        <v>24</v>
      </c>
      <c r="C18" s="16">
        <f>E14</f>
        <v>13500</v>
      </c>
      <c r="D18" s="2" t="s">
        <v>25</v>
      </c>
      <c r="E18" s="2" t="s">
        <v>26</v>
      </c>
    </row>
    <row r="19" spans="1:5" ht="16.8" x14ac:dyDescent="0.4">
      <c r="A19" s="15" t="s">
        <v>27</v>
      </c>
      <c r="C19" s="16">
        <f>C18/1000</f>
        <v>13.5</v>
      </c>
      <c r="D19" s="2" t="s">
        <v>28</v>
      </c>
      <c r="E19" s="2" t="s">
        <v>29</v>
      </c>
    </row>
    <row r="20" spans="1:5" ht="16.8" x14ac:dyDescent="0.4">
      <c r="A20" s="15" t="s">
        <v>30</v>
      </c>
      <c r="C20" s="17">
        <v>220</v>
      </c>
      <c r="D20" s="2" t="s">
        <v>31</v>
      </c>
      <c r="E20" s="2" t="s">
        <v>32</v>
      </c>
    </row>
    <row r="21" spans="1:5" ht="16.8" x14ac:dyDescent="0.4">
      <c r="A21" s="15" t="s">
        <v>33</v>
      </c>
      <c r="C21" s="16" t="s">
        <v>34</v>
      </c>
      <c r="D21" s="2"/>
      <c r="E21" s="2" t="s">
        <v>35</v>
      </c>
    </row>
    <row r="22" spans="1:5" ht="16.8" x14ac:dyDescent="0.4">
      <c r="A22" s="15" t="s">
        <v>36</v>
      </c>
      <c r="C22" s="18">
        <v>0.9</v>
      </c>
      <c r="D22" s="2"/>
      <c r="E22" s="2" t="s">
        <v>37</v>
      </c>
    </row>
    <row r="23" spans="1:5" ht="16.8" x14ac:dyDescent="0.4">
      <c r="A23" s="15" t="s">
        <v>38</v>
      </c>
      <c r="C23" s="16">
        <f>(C19*1000) / (1.732 * C20 * C22)</f>
        <v>39.365945832458529</v>
      </c>
      <c r="D23" s="2" t="s">
        <v>39</v>
      </c>
      <c r="E23" s="2" t="s">
        <v>40</v>
      </c>
    </row>
    <row r="24" spans="1:5" ht="16.8" x14ac:dyDescent="0.4">
      <c r="A24" s="15" t="s">
        <v>41</v>
      </c>
      <c r="C24" s="16" t="s">
        <v>42</v>
      </c>
      <c r="D24" s="2"/>
      <c r="E24" s="2" t="s">
        <v>43</v>
      </c>
    </row>
    <row r="25" spans="1:5" ht="16.8" x14ac:dyDescent="0.4">
      <c r="A25" s="15" t="s">
        <v>44</v>
      </c>
      <c r="C25" s="16" t="s">
        <v>45</v>
      </c>
      <c r="D25" s="2"/>
      <c r="E25" s="2" t="s">
        <v>46</v>
      </c>
    </row>
  </sheetData>
  <mergeCells count="1">
    <mergeCell ref="A14:B14"/>
  </mergeCells>
  <pageMargins left="0.75" right="0.75" top="1" bottom="1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 de Cargas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cp:lastPrinted>2026-06-04T01:14:29Z</cp:lastPrinted>
  <dcterms:created xsi:type="dcterms:W3CDTF">2026-06-04T00:21:11Z</dcterms:created>
  <dcterms:modified xsi:type="dcterms:W3CDTF">2026-06-04T01:14:55Z</dcterms:modified>
</cp:coreProperties>
</file>